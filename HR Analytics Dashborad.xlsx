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excel\HR Analytics Dashborad\"/>
    </mc:Choice>
  </mc:AlternateContent>
  <xr:revisionPtr revIDLastSave="0" documentId="8_{74927AC2-99C0-4E25-B357-19C726B4D6BE}" xr6:coauthVersionLast="47" xr6:coauthVersionMax="47" xr10:uidLastSave="{00000000-0000-0000-0000-000000000000}"/>
  <bookViews>
    <workbookView xWindow="-108" yWindow="-108" windowWidth="23256" windowHeight="12456" xr2:uid="{408BA6AB-5196-496B-9C80-B057CC378CDA}"/>
  </bookViews>
  <sheets>
    <sheet name="Data" sheetId="1" r:id="rId1"/>
    <sheet name="Sheet3" sheetId="8" r:id="rId2"/>
    <sheet name="Sheet2" sheetId="7" r:id="rId3"/>
    <sheet name="PivotTables" sheetId="5" r:id="rId4"/>
    <sheet name="Dashboard" sheetId="2" r:id="rId5"/>
  </sheets>
  <definedNames>
    <definedName name="_xlcn.WorksheetConnection_newhranalyticsproject.xlsxTable11" hidden="1">Table1[]</definedName>
    <definedName name="ExternalData_1" localSheetId="2" hidden="1">Sheet2!$A$3:$U$14</definedName>
    <definedName name="Slicer_Department">#N/A</definedName>
    <definedName name="Slicer_Gender">#N/A</definedName>
  </definedNames>
  <calcPr calcId="181029"/>
  <pivotCaches>
    <pivotCache cacheId="1" r:id="rId6"/>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new hr analytics project.xlsx!Table1"/>
        </x15:modelTables>
      </x15:dataModel>
    </ext>
  </extLst>
</workbook>
</file>

<file path=xl/calcChain.xml><?xml version="1.0" encoding="utf-8"?>
<calcChain xmlns="http://schemas.openxmlformats.org/spreadsheetml/2006/main">
  <c r="Y18" i="5" l="1"/>
  <c r="Y17" i="5"/>
  <c r="Y16" i="5"/>
  <c r="Y15" i="5"/>
  <c r="Y14" i="5"/>
  <c r="Y13" i="5"/>
  <c r="V15" i="5"/>
  <c r="V14" i="5"/>
  <c r="G18" i="5"/>
  <c r="B11" i="8"/>
  <c r="V17" i="5"/>
  <c r="H18" i="5"/>
  <c r="S14" i="5"/>
  <c r="H17" i="5"/>
  <c r="C11" i="5"/>
  <c r="K23" i="5"/>
  <c r="K16" i="5"/>
  <c r="C12" i="5"/>
  <c r="K18" i="5"/>
  <c r="H15" i="5"/>
  <c r="K15" i="5"/>
  <c r="G15" i="5"/>
  <c r="G14" i="5"/>
  <c r="S16" i="5"/>
  <c r="V13" i="5"/>
  <c r="P11" i="5"/>
  <c r="K22" i="5"/>
  <c r="G16" i="5"/>
  <c r="V16" i="5"/>
  <c r="S15" i="5"/>
  <c r="S17" i="5"/>
  <c r="P13" i="5"/>
  <c r="P12" i="5"/>
  <c r="H16" i="5"/>
  <c r="S18" i="5"/>
  <c r="H14" i="5"/>
  <c r="C13" i="5"/>
  <c r="G17" i="5"/>
  <c r="K17" i="5"/>
  <c r="K14" i="5"/>
  <c r="O16" i="5" l="1"/>
  <c r="P16" i="5" s="1"/>
  <c r="P14" i="5"/>
  <c r="L23" i="5"/>
  <c r="M23" i="5" s="1"/>
  <c r="O18" i="5"/>
  <c r="P18" i="5" s="1"/>
  <c r="K24" i="5"/>
  <c r="L22" i="5"/>
  <c r="M22" i="5" s="1"/>
  <c r="H19" i="5"/>
  <c r="C14" i="5"/>
  <c r="K19" i="5"/>
  <c r="G19" i="5"/>
  <c r="O17" i="5"/>
  <c r="P17" i="5" s="1"/>
  <c r="V1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AA843D-6FAD-4B1D-8021-E74DA5EF7E98}" keepAlive="1" name="ModelConnection_ExternalData_1" description="Data Model" type="5" refreshedVersion="8" minRefreshableVersion="5" saveData="1">
    <dbPr connection="Data Model Connection" command="DRILLTHROUGH MAXROWS 1000 SELECT FROM [Model] WHERE (([Measures].[Average of Performance Rating],[Table1].[Department].&amp;[Marketing])) RETURN [$Table1].[Employee ID],[$Table1].[Full Name],[$Table1].[Gender],[$Table1].[Age],[$Table1].[Age range],[$Table1].[Region],[$Table1].[Job Title],[$Table1].[Department],[$Table1].[Manager/Supervisor],[$Table1].[Date of Hire],[$Table1].[Employment Status],[$Table1].[Work Location],[$Table1].[Salary],[$Table1].[Pay Grade],[$Table1].[Bonus/Allowances],[$Table1].[Insurance Details],[$Table1].[Leave Taken],[$Table1].[Performance Rating],[$Table1].[Training Programs Attended],[$Table1].[Skills],[$Table1].[Certifications]" commandType="4"/>
    <extLst>
      <ext xmlns:x15="http://schemas.microsoft.com/office/spreadsheetml/2010/11/main" uri="{DE250136-89BD-433C-8126-D09CA5730AF9}">
        <x15:connection id="" model="1"/>
      </ext>
    </extLst>
  </connection>
  <connection id="2" xr16:uid="{F3EC1FC0-A170-48C9-A873-3230D8AF69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9E01582-B0EF-4C24-8CF8-0988B3D8C895}" name="WorksheetConnection_new hr analytics project.xlsx!Table1" type="102" refreshedVersion="8" minRefreshableVersion="5">
    <extLst>
      <ext xmlns:x15="http://schemas.microsoft.com/office/spreadsheetml/2010/11/main" uri="{DE250136-89BD-433C-8126-D09CA5730AF9}">
        <x15:connection id="Table1" autoDelete="1">
          <x15:rangePr sourceName="_xlcn.WorksheetConnection_newhranalyticsproject.xlsxTable11"/>
        </x15:connection>
      </ext>
    </extLst>
  </connection>
</connections>
</file>

<file path=xl/sharedStrings.xml><?xml version="1.0" encoding="utf-8"?>
<sst xmlns="http://schemas.openxmlformats.org/spreadsheetml/2006/main" count="1070" uniqueCount="252">
  <si>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</si>
  <si>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</si>
  <si>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</si>
  <si>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</si>
  <si>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</si>
  <si>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</si>
  <si>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</si>
  <si>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</si>
  <si>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</si>
  <si>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</si>
  <si>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</si>
  <si>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</si>
  <si>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</si>
  <si>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</si>
  <si>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</si>
  <si>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</si>
  <si>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</si>
  <si>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</si>
  <si>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</si>
  <si>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</si>
  <si>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</si>
  <si>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</si>
  <si>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</si>
  <si>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</si>
  <si>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</si>
  <si>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</si>
  <si>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</si>
  <si>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</si>
  <si>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</si>
  <si>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</si>
  <si>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</si>
  <si>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</si>
  <si>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</si>
  <si>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</si>
  <si>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</si>
  <si>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</si>
  <si>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</si>
  <si>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</si>
  <si>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</si>
  <si>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</si>
  <si>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</si>
  <si>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</si>
  <si>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</si>
  <si>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</si>
  <si>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</si>
  <si>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</si>
  <si>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</si>
  <si>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</si>
  <si>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</si>
  <si>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</si>
  <si>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</si>
  <si>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</si>
  <si>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</si>
  <si>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</si>
  <si>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</si>
  <si>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</si>
  <si>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</si>
  <si>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</si>
  <si>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</si>
  <si>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</si>
  <si>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</si>
  <si>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</si>
  <si>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</si>
  <si>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</si>
  <si>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</si>
  <si>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</si>
  <si>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</si>
  <si>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</si>
  <si>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</si>
  <si>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</si>
  <si>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</si>
  <si>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</si>
  <si>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</si>
  <si>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</si>
  <si>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</si>
  <si>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</si>
  <si>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</si>
  <si>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</si>
  <si>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</si>
  <si>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</si>
  <si>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</si>
  <si>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</si>
  <si>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</si>
  <si>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</si>
  <si>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</si>
  <si>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</si>
  <si>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</si>
  <si>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</si>
  <si>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</si>
  <si>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</si>
  <si>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</si>
  <si>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</si>
  <si>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</si>
  <si>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</si>
  <si>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</si>
  <si>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</si>
  <si>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</si>
  <si>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</si>
  <si>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</si>
  <si>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</si>
  <si>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</si>
  <si>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</si>
  <si>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</si>
  <si>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</si>
  <si>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</si>
  <si>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</si>
  <si>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</si>
  <si>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</si>
  <si>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</si>
  <si>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</si>
  <si>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</si>
  <si>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</si>
  <si>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</si>
  <si>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</si>
  <si>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</si>
  <si>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</si>
  <si>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</si>
  <si>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</si>
  <si>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</si>
  <si>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</si>
  <si>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</si>
  <si>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</si>
  <si>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</si>
  <si>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</si>
  <si>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</si>
  <si>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</si>
  <si>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</si>
  <si>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</si>
  <si>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</si>
  <si>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</si>
  <si>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</si>
  <si>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</si>
  <si>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</si>
  <si>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</si>
  <si>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</si>
  <si>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</si>
  <si>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</si>
  <si>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</si>
  <si>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</si>
  <si>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</si>
  <si>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</si>
  <si>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</si>
  <si>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</si>
  <si>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</si>
  <si>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</si>
  <si>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</si>
  <si>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</si>
  <si>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</si>
  <si>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</si>
  <si>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</si>
  <si>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</si>
  <si>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</si>
  <si>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</si>
  <si>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</si>
  <si>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</si>
  <si>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</si>
  <si>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</si>
  <si>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</si>
  <si>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</si>
  <si>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</si>
  <si>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</si>
  <si>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</si>
  <si>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</si>
  <si>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</si>
  <si>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</si>
  <si>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</si>
  <si>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</si>
  <si>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</si>
  <si>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</si>
  <si>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</si>
  <si>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</si>
  <si>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</si>
  <si>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</si>
  <si>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</si>
  <si>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</si>
  <si>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</si>
  <si>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</si>
  <si>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</si>
  <si>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</si>
  <si>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</si>
  <si>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</si>
  <si>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</si>
  <si>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</si>
  <si>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</si>
  <si>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</si>
  <si>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</si>
  <si>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</si>
  <si>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</si>
  <si>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</si>
  <si>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</si>
  <si>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</si>
  <si>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</si>
  <si>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</si>
  <si>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</si>
  <si>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</si>
  <si>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</si>
  <si>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</si>
  <si>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</si>
  <si>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</si>
  <si>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</si>
  <si>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</si>
  <si>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</si>
  <si>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</si>
  <si>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</si>
  <si>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</si>
  <si>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</si>
  <si>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</si>
  <si>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</si>
  <si>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</si>
  <si>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</si>
  <si>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</si>
  <si>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</si>
  <si>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</si>
  <si>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</si>
  <si>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</si>
  <si>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</si>
  <si>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</si>
  <si>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Employment Status</t>
  </si>
  <si>
    <t>Total</t>
  </si>
  <si>
    <t>Sum of Salary</t>
  </si>
  <si>
    <r>
      <t xml:space="preserve"> </t>
    </r>
    <r>
      <rPr>
        <b/>
        <sz val="12"/>
        <color theme="0"/>
        <rFont val="Kulim Park"/>
      </rPr>
      <t>Salaries to departments</t>
    </r>
  </si>
  <si>
    <t>Column Labels</t>
  </si>
  <si>
    <t>Age range to gender</t>
  </si>
  <si>
    <t>Workplace</t>
  </si>
  <si>
    <t>Sum of Leave Taken</t>
  </si>
  <si>
    <t>Regions</t>
  </si>
  <si>
    <t>Deparments</t>
  </si>
  <si>
    <t>Average of Performance Rating</t>
  </si>
  <si>
    <t>Table1[Employee ID]</t>
  </si>
  <si>
    <t>Table1[Full Name]</t>
  </si>
  <si>
    <t>Table1[Gender]</t>
  </si>
  <si>
    <t>Table1[Age]</t>
  </si>
  <si>
    <t>Table1[Age range]</t>
  </si>
  <si>
    <t>Table1[Region]</t>
  </si>
  <si>
    <t>Table1[Job Title]</t>
  </si>
  <si>
    <t>Table1[Department]</t>
  </si>
  <si>
    <t>Table1[Manager/Supervisor]</t>
  </si>
  <si>
    <t>Table1[Date of Hire]</t>
  </si>
  <si>
    <t>Table1[Employment Status]</t>
  </si>
  <si>
    <t>Table1[Work Location]</t>
  </si>
  <si>
    <t>Table1[Salary]</t>
  </si>
  <si>
    <t>Table1[Pay Grade]</t>
  </si>
  <si>
    <t>Table1[Bonus/Allowances]</t>
  </si>
  <si>
    <t>Table1[Insurance Details]</t>
  </si>
  <si>
    <t>Table1[Leave Taken]</t>
  </si>
  <si>
    <t>Table1[Performance Rating]</t>
  </si>
  <si>
    <t>Table1[Training Programs Attended]</t>
  </si>
  <si>
    <t>Table1[Skills]</t>
  </si>
  <si>
    <t>Table1[Certifications]</t>
  </si>
  <si>
    <t>Data returned for Average of Performance Rating, Marketing (First 1000 rows).</t>
  </si>
  <si>
    <t xml:space="preserve">Total </t>
  </si>
  <si>
    <t>Sum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</si>
</sst>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0.0"/>
  </numFmts>
  <fonts count="16">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b/>
      <sz val="11"/>
      <color theme="1"/>
      <name val="Aptos Narrow"/>
      <family val="2"/>
      <scheme val="minor"/>
    </font>
    <font>
      <b/>
      <sz val="11"/>
      <color theme="0"/>
      <name val="Kulim Park"/>
    </font>
    <font>
      <b/>
      <sz val="12"/>
      <color theme="1"/>
      <name val="Kulim Park"/>
    </font>
    <font>
      <sz val="11"/>
      <color theme="1"/>
      <name val="Aptos Narrow"/>
      <family val="2"/>
      <scheme val="minor"/>
    </font>
    <font>
      <b/>
      <sz val="11"/>
      <color theme="1"/>
      <name val="Kulim Park"/>
    </font>
    <font>
      <b/>
      <sz val="12"/>
      <color theme="0"/>
      <name val="Kulim Park"/>
    </font>
    <font>
      <b/>
      <sz val="16"/>
      <color theme="0"/>
      <name val="Kulim park"/>
    </font>
    <font>
      <b/>
      <sz val="14"/>
      <color theme="0"/>
      <name val="Aptos Narrow"/>
      <family val="2"/>
      <scheme val="minor"/>
    </font>
    <font>
      <sz val="16"/>
      <color theme="0"/>
      <name val="Aptos Narrow"/>
      <family val="2"/>
      <scheme val="minor"/>
    </font>
    <font>
      <b/>
      <sz val="16"/>
      <color theme="0"/>
      <name val="Kalvin park"/>
    </font>
    <font>
      <sz val="11"/>
      <color theme="1"/>
      <name val="Kalvin park"/>
    </font>
    <font>
      <sz val="14"/>
      <color theme="0"/>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7" fillId="0" borderId="0" applyFont="0" applyFill="0" applyBorder="0" applyAlignment="0" applyProtection="0"/>
    <xf numFmtId="9" fontId="7" fillId="0" borderId="0" applyFont="0" applyFill="0" applyBorder="0" applyAlignment="0" applyProtection="0"/>
  </cellStyleXfs>
  <cellXfs count="37">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2" fillId="2" borderId="0" xfId="0" applyFont="1" applyFill="1"/>
    <xf numFmtId="0" fontId="0" fillId="0" borderId="0" xfId="0" pivotButton="1"/>
    <xf numFmtId="0" fontId="0" fillId="0" borderId="0" xfId="0" applyAlignment="1">
      <alignment horizontal="left"/>
    </xf>
    <xf numFmtId="0" fontId="2" fillId="0" borderId="0" xfId="0" applyFont="1" applyAlignment="1">
      <alignment horizontal="left"/>
    </xf>
    <xf numFmtId="0" fontId="4" fillId="0" borderId="0" xfId="0" applyFont="1" applyAlignment="1">
      <alignment horizontal="center" vertical="center"/>
    </xf>
    <xf numFmtId="0" fontId="2" fillId="0" borderId="0" xfId="0" pivotButton="1" applyFont="1"/>
    <xf numFmtId="0" fontId="2" fillId="0" borderId="0" xfId="0" applyFont="1"/>
    <xf numFmtId="164" fontId="2" fillId="0" borderId="0" xfId="1" applyNumberFormat="1" applyFont="1"/>
    <xf numFmtId="9" fontId="8" fillId="0" borderId="0" xfId="2" applyFont="1"/>
    <xf numFmtId="9" fontId="2" fillId="0" borderId="0" xfId="2" applyFont="1"/>
    <xf numFmtId="9" fontId="0" fillId="0" borderId="0" xfId="0" applyNumberFormat="1"/>
    <xf numFmtId="9" fontId="2" fillId="0" borderId="0" xfId="0" applyNumberFormat="1" applyFont="1"/>
    <xf numFmtId="0" fontId="14" fillId="0" borderId="0" xfId="0" applyFont="1" applyAlignment="1">
      <alignment horizontal="left"/>
    </xf>
    <xf numFmtId="0" fontId="14" fillId="0" borderId="0" xfId="0" pivotButton="1" applyFont="1"/>
    <xf numFmtId="0" fontId="14" fillId="0" borderId="0" xfId="0" applyFont="1"/>
    <xf numFmtId="165" fontId="0" fillId="0" borderId="0" xfId="0" applyNumberFormat="1"/>
    <xf numFmtId="0" fontId="5" fillId="3" borderId="0" xfId="0" applyFont="1" applyFill="1" applyAlignment="1">
      <alignment vertical="center"/>
    </xf>
    <xf numFmtId="0" fontId="4" fillId="0" borderId="0" xfId="0" applyFont="1"/>
    <xf numFmtId="2" fontId="0" fillId="0" borderId="0" xfId="0" applyNumberFormat="1"/>
    <xf numFmtId="165" fontId="4" fillId="0" borderId="0" xfId="0" applyNumberFormat="1" applyFont="1"/>
    <xf numFmtId="0" fontId="12" fillId="3" borderId="0" xfId="0" applyFont="1" applyFill="1" applyAlignment="1">
      <alignment horizontal="center" vertical="center"/>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15" fillId="3" borderId="0" xfId="0" applyFont="1" applyFill="1" applyAlignment="1">
      <alignment horizontal="center" vertical="center"/>
    </xf>
    <xf numFmtId="0" fontId="11" fillId="3" borderId="0" xfId="0" applyFont="1" applyFill="1" applyAlignment="1">
      <alignment horizontal="center" vertical="center"/>
    </xf>
    <xf numFmtId="0" fontId="10" fillId="3" borderId="0" xfId="0" applyFont="1" applyFill="1" applyAlignment="1">
      <alignment horizontal="center" vertical="center"/>
    </xf>
    <xf numFmtId="0" fontId="0" fillId="0" borderId="0" xfId="0" applyNumberFormat="1"/>
    <xf numFmtId="0" fontId="2" fillId="0" borderId="0" xfId="0" applyNumberFormat="1" applyFont="1"/>
    <xf numFmtId="164" fontId="0" fillId="0" borderId="0" xfId="0" applyNumberFormat="1" applyFont="1"/>
    <xf numFmtId="0" fontId="0" fillId="0" borderId="0" xfId="0" applyNumberFormat="1" applyFont="1"/>
    <xf numFmtId="0" fontId="14" fillId="0" borderId="0" xfId="0" applyNumberFormat="1" applyFont="1"/>
    <xf numFmtId="0" fontId="0" fillId="0" borderId="0" xfId="0" pivotButton="1" applyFont="1"/>
    <xf numFmtId="0" fontId="0" fillId="0" borderId="0" xfId="0" applyFont="1" applyAlignment="1">
      <alignment horizontal="left"/>
    </xf>
  </cellXfs>
  <cellStyles count="3">
    <cellStyle name="Comma" xfId="1" builtinId="3"/>
    <cellStyle name="Normal" xfId="0" builtinId="0"/>
    <cellStyle name="Percent" xfId="2" builtinId="5"/>
  </cellStyles>
  <dxfs count="49">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_ * #,##0_ ;_ * \-#,##0_ ;_ * &quot;-&quot;??_ ;_ @_ "/>
    </dxf>
    <dxf>
      <font>
        <name val="Kulim park"/>
        <scheme val="none"/>
      </font>
    </dxf>
    <dxf>
      <font>
        <name val="Kulim park"/>
        <scheme val="none"/>
      </font>
    </dxf>
    <dxf>
      <font>
        <name val="Kulim park"/>
        <scheme val="none"/>
      </font>
    </dxf>
    <dxf>
      <font>
        <name val="Kulim park"/>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alvin park"/>
        <scheme val="none"/>
      </font>
    </dxf>
    <dxf>
      <font>
        <name val="Kalvin park"/>
        <scheme val="none"/>
      </font>
    </dxf>
    <dxf>
      <font>
        <name val="Kalvin park"/>
        <scheme val="none"/>
      </font>
    </dxf>
    <dxf>
      <font>
        <name val="Kalvin park"/>
        <scheme val="none"/>
      </font>
    </dxf>
    <dxf>
      <font>
        <name val="Kalvin park"/>
        <scheme val="none"/>
      </font>
    </dxf>
    <dxf>
      <font>
        <name val="Kalvin park"/>
        <scheme val="none"/>
      </font>
    </dxf>
    <dxf>
      <numFmt numFmtId="165" formatCode="0.0"/>
    </dxf>
    <dxf>
      <numFmt numFmtId="2" formatCode="0.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sz val="10"/>
        <color rgb="FF282828"/>
        <name val="Kulim Park SemBold"/>
      </font>
      <fill>
        <patternFill>
          <fgColor rgb="FF282828"/>
          <bgColor rgb="FF1F1F1F"/>
        </patternFill>
      </fill>
    </dxf>
  </dxfs>
  <tableStyles count="1" defaultTableStyle="TableStyleMedium2" defaultPivotStyle="PivotStyleLight16">
    <tableStyle name="Slicer Style 1" pivot="0" table="0" count="4" xr9:uid="{95FC0ECD-5D8B-4ADC-814B-9200B8316E79}">
      <tableStyleElement type="wholeTable" dxfId="48"/>
    </tableStyle>
  </tableStyles>
  <colors>
    <mruColors>
      <color rgb="FFE5B244"/>
      <color rgb="FF2B2B2B"/>
      <color rgb="FFCA941C"/>
      <color rgb="FF282828"/>
      <color rgb="FF1F1F1F"/>
      <color rgb="FF0E0A02"/>
      <color rgb="FF000000"/>
      <color rgb="FFE58244"/>
      <color rgb="FF948A54"/>
      <color rgb="FF77933D"/>
    </mruColors>
  </colors>
  <extLst>
    <ext xmlns:x14="http://schemas.microsoft.com/office/spreadsheetml/2009/9/main" uri="{46F421CA-312F-682f-3DD2-61675219B42D}">
      <x14:dxfs count="3">
        <dxf>
          <font>
            <sz val="11"/>
            <color rgb="FF282828"/>
            <name val="Kulim park SemBold"/>
            <scheme val="none"/>
          </font>
          <fill>
            <patternFill>
              <fgColor rgb="FFE5B244"/>
              <bgColor rgb="FFE5B244"/>
            </patternFill>
          </fill>
        </dxf>
        <dxf>
          <font>
            <color rgb="FFE5B244"/>
            <name val="Kulim Park SeamBold"/>
          </font>
          <fill>
            <patternFill>
              <bgColor rgb="FF2B2B2B"/>
            </patternFill>
          </fill>
        </dxf>
        <dxf>
          <font>
            <b val="0"/>
            <i val="0"/>
            <sz val="10"/>
            <color rgb="FF282828"/>
          </font>
          <fill>
            <patternFill>
              <fgColor rgb="FFE5B244"/>
              <bgColor rgb="FFE5B244"/>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Dashborad.xlsx]PivotTables!Employment Status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PivotTables!$C$4</c:f>
              <c:strCache>
                <c:ptCount val="1"/>
                <c:pt idx="0">
                  <c:v>Total</c:v>
                </c:pt>
              </c:strCache>
            </c:strRef>
          </c:tx>
          <c:spPr>
            <a:solidFill>
              <a:schemeClr val="accent1"/>
            </a:solidFill>
            <a:ln>
              <a:noFill/>
            </a:ln>
            <a:effectLst/>
          </c:spPr>
          <c:invertIfNegative val="0"/>
          <c:cat>
            <c:strRef>
              <c:f>PivotTables!$B$5:$B$8</c:f>
              <c:strCache>
                <c:ptCount val="3"/>
                <c:pt idx="0">
                  <c:v>Contract</c:v>
                </c:pt>
                <c:pt idx="1">
                  <c:v>Full-Time</c:v>
                </c:pt>
                <c:pt idx="2">
                  <c:v>Part-Time</c:v>
                </c:pt>
              </c:strCache>
            </c:strRef>
          </c:cat>
          <c:val>
            <c:numRef>
              <c:f>PivotTables!$C$5:$C$8</c:f>
              <c:numCache>
                <c:formatCode>General</c:formatCode>
                <c:ptCount val="3"/>
                <c:pt idx="0">
                  <c:v>17</c:v>
                </c:pt>
                <c:pt idx="1">
                  <c:v>20</c:v>
                </c:pt>
                <c:pt idx="2">
                  <c:v>13</c:v>
                </c:pt>
              </c:numCache>
            </c:numRef>
          </c:val>
          <c:extLst>
            <c:ext xmlns:c16="http://schemas.microsoft.com/office/drawing/2014/chart" uri="{C3380CC4-5D6E-409C-BE32-E72D297353CC}">
              <c16:uniqueId val="{00000000-80C0-4BD2-82E2-1C50C5B6EA81}"/>
            </c:ext>
          </c:extLst>
        </c:ser>
        <c:dLbls>
          <c:showLegendKey val="0"/>
          <c:showVal val="0"/>
          <c:showCatName val="0"/>
          <c:showSerName val="0"/>
          <c:showPercent val="0"/>
          <c:showBubbleSize val="0"/>
        </c:dLbls>
        <c:gapWidth val="219"/>
        <c:overlap val="-27"/>
        <c:axId val="2076126751"/>
        <c:axId val="2076127231"/>
      </c:barChart>
      <c:catAx>
        <c:axId val="207612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127231"/>
        <c:crosses val="autoZero"/>
        <c:auto val="1"/>
        <c:lblAlgn val="ctr"/>
        <c:lblOffset val="100"/>
        <c:noMultiLvlLbl val="0"/>
      </c:catAx>
      <c:valAx>
        <c:axId val="207612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12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Dashborad.xlsx]PivotTables!Skills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PivotTables!$S$5</c:f>
              <c:strCache>
                <c:ptCount val="1"/>
                <c:pt idx="0">
                  <c:v>Total</c:v>
                </c:pt>
              </c:strCache>
            </c:strRef>
          </c:tx>
          <c:spPr>
            <a:solidFill>
              <a:schemeClr val="accent1"/>
            </a:solidFill>
            <a:ln>
              <a:noFill/>
            </a:ln>
            <a:effectLst/>
          </c:spPr>
          <c:invertIfNegative val="0"/>
          <c:cat>
            <c:strRef>
              <c:f>PivotTables!$R$6:$R$11</c:f>
              <c:strCache>
                <c:ptCount val="5"/>
                <c:pt idx="0">
                  <c:v>Communication</c:v>
                </c:pt>
                <c:pt idx="1">
                  <c:v>Design</c:v>
                </c:pt>
                <c:pt idx="2">
                  <c:v>Excel</c:v>
                </c:pt>
                <c:pt idx="3">
                  <c:v>Management</c:v>
                </c:pt>
                <c:pt idx="4">
                  <c:v>Python</c:v>
                </c:pt>
              </c:strCache>
            </c:strRef>
          </c:cat>
          <c:val>
            <c:numRef>
              <c:f>PivotTables!$S$6:$S$11</c:f>
              <c:numCache>
                <c:formatCode>General</c:formatCode>
                <c:ptCount val="5"/>
                <c:pt idx="0">
                  <c:v>12</c:v>
                </c:pt>
                <c:pt idx="1">
                  <c:v>11</c:v>
                </c:pt>
                <c:pt idx="2">
                  <c:v>7</c:v>
                </c:pt>
                <c:pt idx="3">
                  <c:v>11</c:v>
                </c:pt>
                <c:pt idx="4">
                  <c:v>9</c:v>
                </c:pt>
              </c:numCache>
            </c:numRef>
          </c:val>
          <c:extLst>
            <c:ext xmlns:c16="http://schemas.microsoft.com/office/drawing/2014/chart" uri="{C3380CC4-5D6E-409C-BE32-E72D297353CC}">
              <c16:uniqueId val="{00000000-E470-4AF6-B265-DB44E65F43CB}"/>
            </c:ext>
          </c:extLst>
        </c:ser>
        <c:dLbls>
          <c:showLegendKey val="0"/>
          <c:showVal val="0"/>
          <c:showCatName val="0"/>
          <c:showSerName val="0"/>
          <c:showPercent val="0"/>
          <c:showBubbleSize val="0"/>
        </c:dLbls>
        <c:gapWidth val="219"/>
        <c:overlap val="-27"/>
        <c:axId val="837908607"/>
        <c:axId val="837918207"/>
      </c:barChart>
      <c:catAx>
        <c:axId val="83790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918207"/>
        <c:crosses val="autoZero"/>
        <c:auto val="1"/>
        <c:lblAlgn val="ctr"/>
        <c:lblOffset val="100"/>
        <c:noMultiLvlLbl val="0"/>
      </c:catAx>
      <c:valAx>
        <c:axId val="83791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90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5"/>
              <c:pt idx="0">
                <c:v>Finance</c:v>
              </c:pt>
              <c:pt idx="1">
                <c:v>HR</c:v>
              </c:pt>
              <c:pt idx="2">
                <c:v>IT</c:v>
              </c:pt>
              <c:pt idx="3">
                <c:v>Marketing</c:v>
              </c:pt>
              <c:pt idx="4">
                <c:v>Operations</c:v>
              </c:pt>
            </c:strLit>
          </c:cat>
          <c:val>
            <c:numLit>
              <c:formatCode>General</c:formatCode>
              <c:ptCount val="5"/>
              <c:pt idx="0">
                <c:v>31</c:v>
              </c:pt>
              <c:pt idx="1">
                <c:v>33</c:v>
              </c:pt>
              <c:pt idx="2">
                <c:v>18</c:v>
              </c:pt>
              <c:pt idx="3">
                <c:v>26</c:v>
              </c:pt>
              <c:pt idx="4">
                <c:v>23</c:v>
              </c:pt>
            </c:numLit>
          </c:val>
          <c:extLst>
            <c:ext xmlns:c16="http://schemas.microsoft.com/office/drawing/2014/chart" uri="{C3380CC4-5D6E-409C-BE32-E72D297353CC}">
              <c16:uniqueId val="{00000005-FC24-4A1F-8788-D7590D4A0247}"/>
            </c:ext>
          </c:extLst>
        </c:ser>
        <c:dLbls>
          <c:showLegendKey val="0"/>
          <c:showVal val="0"/>
          <c:showCatName val="0"/>
          <c:showSerName val="0"/>
          <c:showPercent val="0"/>
          <c:showBubbleSize val="0"/>
        </c:dLbls>
        <c:gapWidth val="219"/>
        <c:overlap val="-27"/>
        <c:axId val="904901823"/>
        <c:axId val="904908063"/>
      </c:barChart>
      <c:catAx>
        <c:axId val="90490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908063"/>
        <c:crosses val="autoZero"/>
        <c:auto val="1"/>
        <c:lblAlgn val="ctr"/>
        <c:lblOffset val="100"/>
        <c:noMultiLvlLbl val="0"/>
      </c:catAx>
      <c:valAx>
        <c:axId val="90490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90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651699310218398E-2"/>
          <c:y val="0"/>
          <c:w val="0.81910109158649769"/>
          <c:h val="1"/>
        </c:manualLayout>
      </c:layout>
      <c:pieChart>
        <c:varyColors val="1"/>
        <c:ser>
          <c:idx val="0"/>
          <c:order val="0"/>
          <c:dPt>
            <c:idx val="0"/>
            <c:bubble3D val="0"/>
            <c:spPr>
              <a:solidFill>
                <a:srgbClr val="E5B244"/>
              </a:solidFill>
              <a:ln w="19050">
                <a:solidFill>
                  <a:srgbClr val="1F1F1F"/>
                </a:solidFill>
              </a:ln>
              <a:effectLst/>
            </c:spPr>
            <c:extLst>
              <c:ext xmlns:c16="http://schemas.microsoft.com/office/drawing/2014/chart" uri="{C3380CC4-5D6E-409C-BE32-E72D297353CC}">
                <c16:uniqueId val="{00000001-6BBD-4EE7-BE77-4D576BA33FB9}"/>
              </c:ext>
            </c:extLst>
          </c:dPt>
          <c:dPt>
            <c:idx val="1"/>
            <c:bubble3D val="0"/>
            <c:spPr>
              <a:solidFill>
                <a:schemeClr val="bg2">
                  <a:lumMod val="25000"/>
                </a:schemeClr>
              </a:solidFill>
              <a:ln w="19050">
                <a:solidFill>
                  <a:srgbClr val="1F1F1F"/>
                </a:solidFill>
              </a:ln>
              <a:effectLst/>
            </c:spPr>
            <c:extLst>
              <c:ext xmlns:c16="http://schemas.microsoft.com/office/drawing/2014/chart" uri="{C3380CC4-5D6E-409C-BE32-E72D297353CC}">
                <c16:uniqueId val="{00000003-6BBD-4EE7-BE77-4D576BA33FB9}"/>
              </c:ext>
            </c:extLst>
          </c:dPt>
          <c:dPt>
            <c:idx val="2"/>
            <c:bubble3D val="0"/>
            <c:spPr>
              <a:solidFill>
                <a:schemeClr val="bg1">
                  <a:lumMod val="85000"/>
                </a:schemeClr>
              </a:solidFill>
              <a:ln w="19050">
                <a:solidFill>
                  <a:srgbClr val="1F1F1F"/>
                </a:solidFill>
              </a:ln>
              <a:effectLst/>
            </c:spPr>
            <c:extLst>
              <c:ext xmlns:c16="http://schemas.microsoft.com/office/drawing/2014/chart" uri="{C3380CC4-5D6E-409C-BE32-E72D297353CC}">
                <c16:uniqueId val="{00000005-6BBD-4EE7-BE77-4D576BA33FB9}"/>
              </c:ext>
            </c:extLst>
          </c:dPt>
          <c:cat>
            <c:strRef>
              <c:f>PivotTables!$B$11:$B$13</c:f>
              <c:strCache>
                <c:ptCount val="3"/>
                <c:pt idx="0">
                  <c:v>Contract</c:v>
                </c:pt>
                <c:pt idx="1">
                  <c:v>Full-Time</c:v>
                </c:pt>
                <c:pt idx="2">
                  <c:v>Part-Time</c:v>
                </c:pt>
              </c:strCache>
            </c:strRef>
          </c:cat>
          <c:val>
            <c:numRef>
              <c:f>PivotTables!$C$11:$C$13</c:f>
              <c:numCache>
                <c:formatCode>General</c:formatCode>
                <c:ptCount val="3"/>
                <c:pt idx="0">
                  <c:v>17</c:v>
                </c:pt>
                <c:pt idx="1">
                  <c:v>20</c:v>
                </c:pt>
                <c:pt idx="2">
                  <c:v>13</c:v>
                </c:pt>
              </c:numCache>
            </c:numRef>
          </c:val>
          <c:extLst>
            <c:ext xmlns:c16="http://schemas.microsoft.com/office/drawing/2014/chart" uri="{C3380CC4-5D6E-409C-BE32-E72D297353CC}">
              <c16:uniqueId val="{00000006-6BBD-4EE7-BE77-4D576BA33FB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Dashborad.xlsx]PivotTables!Age ranges</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PivotTables!$K$4:$K$5</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PivotTables!$J$6:$J$11</c:f>
              <c:strCache>
                <c:ptCount val="5"/>
                <c:pt idx="0">
                  <c:v>18-25</c:v>
                </c:pt>
                <c:pt idx="1">
                  <c:v>26-35</c:v>
                </c:pt>
                <c:pt idx="2">
                  <c:v>36-45</c:v>
                </c:pt>
                <c:pt idx="3">
                  <c:v>46-55</c:v>
                </c:pt>
                <c:pt idx="4">
                  <c:v>56 &lt;</c:v>
                </c:pt>
              </c:strCache>
            </c:strRef>
          </c:cat>
          <c:val>
            <c:numRef>
              <c:f>PivotTables!$K$6:$K$11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D02F-496F-BBE9-EDCD9F5212C2}"/>
            </c:ext>
          </c:extLst>
        </c:ser>
        <c:ser>
          <c:idx val="1"/>
          <c:order val="1"/>
          <c:tx>
            <c:strRef>
              <c:f>PivotTables!$L$4:$L$5</c:f>
              <c:strCache>
                <c:ptCount val="1"/>
                <c:pt idx="0">
                  <c:v>Male</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PivotTables!$J$6:$J$11</c:f>
              <c:strCache>
                <c:ptCount val="5"/>
                <c:pt idx="0">
                  <c:v>18-25</c:v>
                </c:pt>
                <c:pt idx="1">
                  <c:v>26-35</c:v>
                </c:pt>
                <c:pt idx="2">
                  <c:v>36-45</c:v>
                </c:pt>
                <c:pt idx="3">
                  <c:v>46-55</c:v>
                </c:pt>
                <c:pt idx="4">
                  <c:v>56 &lt;</c:v>
                </c:pt>
              </c:strCache>
            </c:strRef>
          </c:cat>
          <c:val>
            <c:numRef>
              <c:f>PivotTables!$L$6:$L$11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FCF9-4038-9AB0-D23DB781E199}"/>
            </c:ext>
          </c:extLst>
        </c:ser>
        <c:dLbls>
          <c:dLblPos val="outEnd"/>
          <c:showLegendKey val="0"/>
          <c:showVal val="1"/>
          <c:showCatName val="0"/>
          <c:showSerName val="0"/>
          <c:showPercent val="0"/>
          <c:showBubbleSize val="0"/>
        </c:dLbls>
        <c:gapWidth val="219"/>
        <c:overlap val="-27"/>
        <c:axId val="254553167"/>
        <c:axId val="254552687"/>
      </c:barChart>
      <c:catAx>
        <c:axId val="25455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54552687"/>
        <c:crosses val="autoZero"/>
        <c:auto val="1"/>
        <c:lblAlgn val="ctr"/>
        <c:lblOffset val="100"/>
        <c:noMultiLvlLbl val="0"/>
      </c:catAx>
      <c:valAx>
        <c:axId val="254552687"/>
        <c:scaling>
          <c:orientation val="minMax"/>
        </c:scaling>
        <c:delete val="0"/>
        <c:axPos val="l"/>
        <c:majorGridlines>
          <c:spPr>
            <a:ln w="9525" cap="flat" cmpd="sng" algn="ctr">
              <a:solidFill>
                <a:srgbClr val="E5B244">
                  <a:alpha val="29000"/>
                </a:srgbClr>
              </a:solidFill>
              <a:prstDash val="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5455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444425376318988E-2"/>
          <c:y val="0.21953707064944944"/>
          <c:w val="0.84017097244007555"/>
          <c:h val="0.51701844457121127"/>
        </c:manualLayout>
      </c:layout>
      <c:barChart>
        <c:barDir val="bar"/>
        <c:grouping val="percentStacked"/>
        <c:varyColors val="0"/>
        <c:ser>
          <c:idx val="0"/>
          <c:order val="0"/>
          <c:spPr>
            <a:solidFill>
              <a:srgbClr val="E5B244"/>
            </a:solidFill>
            <a:ln>
              <a:noFill/>
            </a:ln>
            <a:effectLst/>
          </c:spPr>
          <c:invertIfNegative val="0"/>
          <c:val>
            <c:numRef>
              <c:f>PivotTables!$O$16</c:f>
              <c:numCache>
                <c:formatCode>0%</c:formatCode>
                <c:ptCount val="1"/>
                <c:pt idx="0">
                  <c:v>0.46</c:v>
                </c:pt>
              </c:numCache>
            </c:numRef>
          </c:val>
          <c:extLst>
            <c:ext xmlns:c16="http://schemas.microsoft.com/office/drawing/2014/chart" uri="{C3380CC4-5D6E-409C-BE32-E72D297353CC}">
              <c16:uniqueId val="{00000000-7110-4FEE-89F8-601037EDCF76}"/>
            </c:ext>
          </c:extLst>
        </c:ser>
        <c:ser>
          <c:idx val="1"/>
          <c:order val="1"/>
          <c:spPr>
            <a:solidFill>
              <a:srgbClr val="1F1F1F"/>
            </a:solidFill>
            <a:ln>
              <a:noFill/>
            </a:ln>
            <a:effectLst/>
          </c:spPr>
          <c:invertIfNegative val="0"/>
          <c:dPt>
            <c:idx val="0"/>
            <c:invertIfNegative val="0"/>
            <c:bubble3D val="0"/>
            <c:spPr>
              <a:solidFill>
                <a:srgbClr val="1F1F1F"/>
              </a:solidFill>
              <a:ln>
                <a:noFill/>
              </a:ln>
              <a:effectLst/>
            </c:spPr>
            <c:extLst>
              <c:ext xmlns:c16="http://schemas.microsoft.com/office/drawing/2014/chart" uri="{C3380CC4-5D6E-409C-BE32-E72D297353CC}">
                <c16:uniqueId val="{00000002-7110-4FEE-89F8-601037EDCF76}"/>
              </c:ext>
            </c:extLst>
          </c:dPt>
          <c:val>
            <c:numRef>
              <c:f>PivotTables!$P$16</c:f>
              <c:numCache>
                <c:formatCode>0%</c:formatCode>
                <c:ptCount val="1"/>
                <c:pt idx="0">
                  <c:v>0.54</c:v>
                </c:pt>
              </c:numCache>
            </c:numRef>
          </c:val>
          <c:extLst>
            <c:ext xmlns:c16="http://schemas.microsoft.com/office/drawing/2014/chart" uri="{C3380CC4-5D6E-409C-BE32-E72D297353CC}">
              <c16:uniqueId val="{00000001-7110-4FEE-89F8-601037EDCF76}"/>
            </c:ext>
          </c:extLst>
        </c:ser>
        <c:dLbls>
          <c:showLegendKey val="0"/>
          <c:showVal val="0"/>
          <c:showCatName val="0"/>
          <c:showSerName val="0"/>
          <c:showPercent val="0"/>
          <c:showBubbleSize val="0"/>
        </c:dLbls>
        <c:gapWidth val="150"/>
        <c:overlap val="100"/>
        <c:axId val="776223679"/>
        <c:axId val="776227039"/>
      </c:barChart>
      <c:catAx>
        <c:axId val="776223679"/>
        <c:scaling>
          <c:orientation val="minMax"/>
        </c:scaling>
        <c:delete val="1"/>
        <c:axPos val="l"/>
        <c:majorTickMark val="none"/>
        <c:minorTickMark val="none"/>
        <c:tickLblPos val="nextTo"/>
        <c:crossAx val="776227039"/>
        <c:crosses val="autoZero"/>
        <c:auto val="1"/>
        <c:lblAlgn val="ctr"/>
        <c:lblOffset val="100"/>
        <c:noMultiLvlLbl val="0"/>
      </c:catAx>
      <c:valAx>
        <c:axId val="776227039"/>
        <c:scaling>
          <c:orientation val="minMax"/>
        </c:scaling>
        <c:delete val="1"/>
        <c:axPos val="b"/>
        <c:numFmt formatCode="0%" sourceLinked="1"/>
        <c:majorTickMark val="none"/>
        <c:minorTickMark val="none"/>
        <c:tickLblPos val="nextTo"/>
        <c:crossAx val="77622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E5B244"/>
              </a:solidFill>
              <a:ln>
                <a:noFill/>
              </a:ln>
              <a:effectLst/>
            </c:spPr>
            <c:extLst>
              <c:ext xmlns:c16="http://schemas.microsoft.com/office/drawing/2014/chart" uri="{C3380CC4-5D6E-409C-BE32-E72D297353CC}">
                <c16:uniqueId val="{00000002-57F2-4BF4-9DAF-3DF526D53594}"/>
              </c:ext>
            </c:extLst>
          </c:dPt>
          <c:val>
            <c:numRef>
              <c:f>PivotTables!$O$17</c:f>
              <c:numCache>
                <c:formatCode>0%</c:formatCode>
                <c:ptCount val="1"/>
                <c:pt idx="0">
                  <c:v>0.16</c:v>
                </c:pt>
              </c:numCache>
            </c:numRef>
          </c:val>
          <c:extLst>
            <c:ext xmlns:c16="http://schemas.microsoft.com/office/drawing/2014/chart" uri="{C3380CC4-5D6E-409C-BE32-E72D297353CC}">
              <c16:uniqueId val="{00000000-57F2-4BF4-9DAF-3DF526D53594}"/>
            </c:ext>
          </c:extLst>
        </c:ser>
        <c:ser>
          <c:idx val="1"/>
          <c:order val="1"/>
          <c:spPr>
            <a:solidFill>
              <a:srgbClr val="1F1F1F"/>
            </a:solidFill>
            <a:ln>
              <a:noFill/>
            </a:ln>
            <a:effectLst/>
          </c:spPr>
          <c:invertIfNegative val="0"/>
          <c:val>
            <c:numRef>
              <c:f>PivotTables!$P$17</c:f>
              <c:numCache>
                <c:formatCode>0%</c:formatCode>
                <c:ptCount val="1"/>
                <c:pt idx="0">
                  <c:v>0.84</c:v>
                </c:pt>
              </c:numCache>
            </c:numRef>
          </c:val>
          <c:extLst>
            <c:ext xmlns:c16="http://schemas.microsoft.com/office/drawing/2014/chart" uri="{C3380CC4-5D6E-409C-BE32-E72D297353CC}">
              <c16:uniqueId val="{00000001-57F2-4BF4-9DAF-3DF526D53594}"/>
            </c:ext>
          </c:extLst>
        </c:ser>
        <c:dLbls>
          <c:showLegendKey val="0"/>
          <c:showVal val="0"/>
          <c:showCatName val="0"/>
          <c:showSerName val="0"/>
          <c:showPercent val="0"/>
          <c:showBubbleSize val="0"/>
        </c:dLbls>
        <c:gapWidth val="150"/>
        <c:overlap val="100"/>
        <c:axId val="776224639"/>
        <c:axId val="776221279"/>
      </c:barChart>
      <c:catAx>
        <c:axId val="776224639"/>
        <c:scaling>
          <c:orientation val="minMax"/>
        </c:scaling>
        <c:delete val="1"/>
        <c:axPos val="l"/>
        <c:majorTickMark val="none"/>
        <c:minorTickMark val="none"/>
        <c:tickLblPos val="nextTo"/>
        <c:crossAx val="776221279"/>
        <c:crosses val="autoZero"/>
        <c:auto val="1"/>
        <c:lblAlgn val="ctr"/>
        <c:lblOffset val="100"/>
        <c:noMultiLvlLbl val="0"/>
      </c:catAx>
      <c:valAx>
        <c:axId val="776221279"/>
        <c:scaling>
          <c:orientation val="minMax"/>
        </c:scaling>
        <c:delete val="1"/>
        <c:axPos val="b"/>
        <c:numFmt formatCode="0%" sourceLinked="1"/>
        <c:majorTickMark val="none"/>
        <c:minorTickMark val="none"/>
        <c:tickLblPos val="nextTo"/>
        <c:crossAx val="77622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17246220272995E-2"/>
          <c:y val="1.064187605798444E-3"/>
          <c:w val="0.79196342044240453"/>
          <c:h val="0.72571246175264115"/>
        </c:manualLayout>
      </c:layout>
      <c:barChart>
        <c:barDir val="bar"/>
        <c:grouping val="percentStacked"/>
        <c:varyColors val="0"/>
        <c:ser>
          <c:idx val="0"/>
          <c:order val="0"/>
          <c:spPr>
            <a:solidFill>
              <a:srgbClr val="E5B244"/>
            </a:solidFill>
            <a:ln>
              <a:noFill/>
            </a:ln>
            <a:effectLst/>
          </c:spPr>
          <c:invertIfNegative val="0"/>
          <c:val>
            <c:numRef>
              <c:f>PivotTables!$O$18</c:f>
              <c:numCache>
                <c:formatCode>0%</c:formatCode>
                <c:ptCount val="1"/>
                <c:pt idx="0">
                  <c:v>0.38</c:v>
                </c:pt>
              </c:numCache>
            </c:numRef>
          </c:val>
          <c:extLst>
            <c:ext xmlns:c16="http://schemas.microsoft.com/office/drawing/2014/chart" uri="{C3380CC4-5D6E-409C-BE32-E72D297353CC}">
              <c16:uniqueId val="{00000000-D4C6-42AE-86CF-F87DC89553FF}"/>
            </c:ext>
          </c:extLst>
        </c:ser>
        <c:ser>
          <c:idx val="1"/>
          <c:order val="1"/>
          <c:spPr>
            <a:solidFill>
              <a:srgbClr val="1F1F1F"/>
            </a:solidFill>
            <a:ln>
              <a:noFill/>
            </a:ln>
            <a:effectLst/>
          </c:spPr>
          <c:invertIfNegative val="0"/>
          <c:val>
            <c:numRef>
              <c:f>PivotTables!$P$18</c:f>
              <c:numCache>
                <c:formatCode>0%</c:formatCode>
                <c:ptCount val="1"/>
                <c:pt idx="0">
                  <c:v>0.62</c:v>
                </c:pt>
              </c:numCache>
            </c:numRef>
          </c:val>
          <c:extLst>
            <c:ext xmlns:c16="http://schemas.microsoft.com/office/drawing/2014/chart" uri="{C3380CC4-5D6E-409C-BE32-E72D297353CC}">
              <c16:uniqueId val="{00000001-D4C6-42AE-86CF-F87DC89553FF}"/>
            </c:ext>
          </c:extLst>
        </c:ser>
        <c:dLbls>
          <c:showLegendKey val="0"/>
          <c:showVal val="0"/>
          <c:showCatName val="0"/>
          <c:showSerName val="0"/>
          <c:showPercent val="0"/>
          <c:showBubbleSize val="0"/>
        </c:dLbls>
        <c:gapWidth val="150"/>
        <c:overlap val="100"/>
        <c:axId val="760030063"/>
        <c:axId val="760025263"/>
      </c:barChart>
      <c:catAx>
        <c:axId val="760030063"/>
        <c:scaling>
          <c:orientation val="minMax"/>
        </c:scaling>
        <c:delete val="1"/>
        <c:axPos val="l"/>
        <c:majorTickMark val="none"/>
        <c:minorTickMark val="none"/>
        <c:tickLblPos val="nextTo"/>
        <c:crossAx val="760025263"/>
        <c:crosses val="autoZero"/>
        <c:auto val="1"/>
        <c:lblAlgn val="ctr"/>
        <c:lblOffset val="100"/>
        <c:noMultiLvlLbl val="0"/>
      </c:catAx>
      <c:valAx>
        <c:axId val="760025263"/>
        <c:scaling>
          <c:orientation val="minMax"/>
        </c:scaling>
        <c:delete val="1"/>
        <c:axPos val="b"/>
        <c:numFmt formatCode="0%" sourceLinked="1"/>
        <c:majorTickMark val="none"/>
        <c:minorTickMark val="none"/>
        <c:tickLblPos val="nextTo"/>
        <c:crossAx val="76003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1"/>
            </a:solidFill>
            <a:ln>
              <a:noFill/>
            </a:ln>
          </c:spPr>
          <c:dPt>
            <c:idx val="0"/>
            <c:bubble3D val="0"/>
            <c:spPr>
              <a:solidFill>
                <a:srgbClr val="E5B244"/>
              </a:solidFill>
              <a:ln w="19050">
                <a:noFill/>
              </a:ln>
              <a:effectLst/>
            </c:spPr>
            <c:extLst>
              <c:ext xmlns:c16="http://schemas.microsoft.com/office/drawing/2014/chart" uri="{C3380CC4-5D6E-409C-BE32-E72D297353CC}">
                <c16:uniqueId val="{00000001-509F-4B62-89FE-7B9F6F579217}"/>
              </c:ext>
            </c:extLst>
          </c:dPt>
          <c:dPt>
            <c:idx val="1"/>
            <c:bubble3D val="0"/>
            <c:spPr>
              <a:solidFill>
                <a:srgbClr val="1F1F1F"/>
              </a:solidFill>
              <a:ln w="19050">
                <a:noFill/>
              </a:ln>
              <a:effectLst/>
            </c:spPr>
            <c:extLst>
              <c:ext xmlns:c16="http://schemas.microsoft.com/office/drawing/2014/chart" uri="{C3380CC4-5D6E-409C-BE32-E72D297353CC}">
                <c16:uniqueId val="{00000003-509F-4B62-89FE-7B9F6F579217}"/>
              </c:ext>
            </c:extLst>
          </c:dPt>
          <c:val>
            <c:numRef>
              <c:f>PivotTables!$L$23:$M$23</c:f>
              <c:numCache>
                <c:formatCode>0%</c:formatCode>
                <c:ptCount val="2"/>
                <c:pt idx="0">
                  <c:v>0.48</c:v>
                </c:pt>
                <c:pt idx="1">
                  <c:v>0.52</c:v>
                </c:pt>
              </c:numCache>
            </c:numRef>
          </c:val>
          <c:extLst>
            <c:ext xmlns:c16="http://schemas.microsoft.com/office/drawing/2014/chart" uri="{C3380CC4-5D6E-409C-BE32-E72D297353CC}">
              <c16:uniqueId val="{00000004-509F-4B62-89FE-7B9F6F57921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26BE-4A24-84A4-DEE05D976FBD}"/>
              </c:ext>
            </c:extLst>
          </c:dPt>
          <c:dPt>
            <c:idx val="1"/>
            <c:bubble3D val="0"/>
            <c:spPr>
              <a:solidFill>
                <a:srgbClr val="1F1F1F"/>
              </a:solidFill>
              <a:ln w="19050">
                <a:noFill/>
              </a:ln>
              <a:effectLst/>
            </c:spPr>
            <c:extLst>
              <c:ext xmlns:c16="http://schemas.microsoft.com/office/drawing/2014/chart" uri="{C3380CC4-5D6E-409C-BE32-E72D297353CC}">
                <c16:uniqueId val="{00000003-26BE-4A24-84A4-DEE05D976FBD}"/>
              </c:ext>
            </c:extLst>
          </c:dPt>
          <c:val>
            <c:numRef>
              <c:f>PivotTables!$L$22:$M$22</c:f>
              <c:numCache>
                <c:formatCode>0%</c:formatCode>
                <c:ptCount val="2"/>
                <c:pt idx="0">
                  <c:v>0.52</c:v>
                </c:pt>
                <c:pt idx="1">
                  <c:v>0.48</c:v>
                </c:pt>
              </c:numCache>
            </c:numRef>
          </c:val>
          <c:extLst>
            <c:ext xmlns:c16="http://schemas.microsoft.com/office/drawing/2014/chart" uri="{C3380CC4-5D6E-409C-BE32-E72D297353CC}">
              <c16:uniqueId val="{00000004-26BE-4A24-84A4-DEE05D976FB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606060606060608E-2"/>
          <c:y val="9.7222222222222224E-2"/>
          <c:w val="0.89661319073083778"/>
          <c:h val="0.6909951881014873"/>
        </c:manualLayout>
      </c:layout>
      <c:barChart>
        <c:barDir val="col"/>
        <c:grouping val="clustered"/>
        <c:varyColors val="0"/>
        <c:ser>
          <c:idx val="0"/>
          <c:order val="0"/>
          <c:tx>
            <c:strRef>
              <c:f>PivotTables!$F$14</c:f>
              <c:strCache>
                <c:ptCount val="1"/>
                <c:pt idx="0">
                  <c:v>Analyst</c:v>
                </c:pt>
              </c:strCache>
            </c:strRef>
          </c:tx>
          <c:spPr>
            <a:solidFill>
              <a:srgbClr val="77933D"/>
            </a:solidFill>
            <a:ln>
              <a:noFill/>
            </a:ln>
            <a:effectLst/>
          </c:spPr>
          <c:invertIfNegative val="0"/>
          <c:val>
            <c:numRef>
              <c:f>PivotTables!$H$14</c:f>
              <c:numCache>
                <c:formatCode>_ * #,##0_ ;_ * \-#,##0_ ;_ * "-"??_ ;_ @_ </c:formatCode>
                <c:ptCount val="1"/>
                <c:pt idx="0">
                  <c:v>28</c:v>
                </c:pt>
              </c:numCache>
            </c:numRef>
          </c:val>
          <c:extLst>
            <c:ext xmlns:c16="http://schemas.microsoft.com/office/drawing/2014/chart" uri="{C3380CC4-5D6E-409C-BE32-E72D297353CC}">
              <c16:uniqueId val="{00000000-F34C-4C57-88BB-AB7C7A04FB57}"/>
            </c:ext>
          </c:extLst>
        </c:ser>
        <c:ser>
          <c:idx val="1"/>
          <c:order val="1"/>
          <c:tx>
            <c:strRef>
              <c:f>PivotTables!$F$15</c:f>
              <c:strCache>
                <c:ptCount val="1"/>
                <c:pt idx="0">
                  <c:v>Designer</c:v>
                </c:pt>
              </c:strCache>
            </c:strRef>
          </c:tx>
          <c:spPr>
            <a:solidFill>
              <a:schemeClr val="bg2">
                <a:lumMod val="50000"/>
              </a:schemeClr>
            </a:solidFill>
            <a:ln>
              <a:noFill/>
            </a:ln>
            <a:effectLst/>
          </c:spPr>
          <c:invertIfNegative val="0"/>
          <c:val>
            <c:numRef>
              <c:f>PivotTables!$H$15</c:f>
              <c:numCache>
                <c:formatCode>_ * #,##0_ ;_ * \-#,##0_ ;_ * "-"??_ ;_ @_ </c:formatCode>
                <c:ptCount val="1"/>
                <c:pt idx="0">
                  <c:v>110</c:v>
                </c:pt>
              </c:numCache>
            </c:numRef>
          </c:val>
          <c:extLst>
            <c:ext xmlns:c16="http://schemas.microsoft.com/office/drawing/2014/chart" uri="{C3380CC4-5D6E-409C-BE32-E72D297353CC}">
              <c16:uniqueId val="{00000001-F34C-4C57-88BB-AB7C7A04FB57}"/>
            </c:ext>
          </c:extLst>
        </c:ser>
        <c:ser>
          <c:idx val="2"/>
          <c:order val="2"/>
          <c:tx>
            <c:strRef>
              <c:f>PivotTables!$F$16</c:f>
              <c:strCache>
                <c:ptCount val="1"/>
                <c:pt idx="0">
                  <c:v>Developer</c:v>
                </c:pt>
              </c:strCache>
            </c:strRef>
          </c:tx>
          <c:spPr>
            <a:solidFill>
              <a:srgbClr val="948A54"/>
            </a:solidFill>
            <a:ln>
              <a:noFill/>
            </a:ln>
            <a:effectLst/>
          </c:spPr>
          <c:invertIfNegative val="0"/>
          <c:val>
            <c:numRef>
              <c:f>PivotTables!$H$16</c:f>
              <c:numCache>
                <c:formatCode>_ * #,##0_ ;_ * \-#,##0_ ;_ * "-"??_ ;_ @_ </c:formatCode>
                <c:ptCount val="1"/>
                <c:pt idx="0">
                  <c:v>104</c:v>
                </c:pt>
              </c:numCache>
            </c:numRef>
          </c:val>
          <c:extLst>
            <c:ext xmlns:c16="http://schemas.microsoft.com/office/drawing/2014/chart" uri="{C3380CC4-5D6E-409C-BE32-E72D297353CC}">
              <c16:uniqueId val="{00000002-F34C-4C57-88BB-AB7C7A04FB57}"/>
            </c:ext>
          </c:extLst>
        </c:ser>
        <c:ser>
          <c:idx val="3"/>
          <c:order val="3"/>
          <c:tx>
            <c:strRef>
              <c:f>PivotTables!$F$17</c:f>
              <c:strCache>
                <c:ptCount val="1"/>
                <c:pt idx="0">
                  <c:v>HR Specialist</c:v>
                </c:pt>
              </c:strCache>
            </c:strRef>
          </c:tx>
          <c:spPr>
            <a:solidFill>
              <a:schemeClr val="bg2"/>
            </a:solidFill>
            <a:ln>
              <a:noFill/>
            </a:ln>
            <a:effectLst/>
          </c:spPr>
          <c:invertIfNegative val="0"/>
          <c:val>
            <c:numRef>
              <c:f>PivotTables!$H$17</c:f>
              <c:numCache>
                <c:formatCode>_ * #,##0_ ;_ * \-#,##0_ ;_ * "-"??_ ;_ @_ </c:formatCode>
                <c:ptCount val="1"/>
                <c:pt idx="0">
                  <c:v>123</c:v>
                </c:pt>
              </c:numCache>
            </c:numRef>
          </c:val>
          <c:extLst>
            <c:ext xmlns:c16="http://schemas.microsoft.com/office/drawing/2014/chart" uri="{C3380CC4-5D6E-409C-BE32-E72D297353CC}">
              <c16:uniqueId val="{00000003-F34C-4C57-88BB-AB7C7A04FB57}"/>
            </c:ext>
          </c:extLst>
        </c:ser>
        <c:ser>
          <c:idx val="4"/>
          <c:order val="4"/>
          <c:tx>
            <c:strRef>
              <c:f>PivotTables!$F$18</c:f>
              <c:strCache>
                <c:ptCount val="1"/>
                <c:pt idx="0">
                  <c:v>Manager</c:v>
                </c:pt>
              </c:strCache>
            </c:strRef>
          </c:tx>
          <c:spPr>
            <a:solidFill>
              <a:srgbClr val="E5B244"/>
            </a:solidFill>
            <a:ln>
              <a:noFill/>
            </a:ln>
            <a:effectLst/>
          </c:spPr>
          <c:invertIfNegative val="0"/>
          <c:val>
            <c:numRef>
              <c:f>PivotTables!$H$18</c:f>
              <c:numCache>
                <c:formatCode>_ * #,##0_ ;_ * \-#,##0_ ;_ * "-"??_ ;_ @_ </c:formatCode>
                <c:ptCount val="1"/>
                <c:pt idx="0">
                  <c:v>122</c:v>
                </c:pt>
              </c:numCache>
            </c:numRef>
          </c:val>
          <c:extLst>
            <c:ext xmlns:c16="http://schemas.microsoft.com/office/drawing/2014/chart" uri="{C3380CC4-5D6E-409C-BE32-E72D297353CC}">
              <c16:uniqueId val="{00000004-F34C-4C57-88BB-AB7C7A04FB57}"/>
            </c:ext>
          </c:extLst>
        </c:ser>
        <c:dLbls>
          <c:showLegendKey val="0"/>
          <c:showVal val="0"/>
          <c:showCatName val="0"/>
          <c:showSerName val="0"/>
          <c:showPercent val="0"/>
          <c:showBubbleSize val="0"/>
        </c:dLbls>
        <c:gapWidth val="219"/>
        <c:overlap val="-27"/>
        <c:axId val="764007295"/>
        <c:axId val="764008255"/>
      </c:barChart>
      <c:catAx>
        <c:axId val="7640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008255"/>
        <c:crosses val="autoZero"/>
        <c:auto val="1"/>
        <c:lblAlgn val="ctr"/>
        <c:lblOffset val="100"/>
        <c:noMultiLvlLbl val="0"/>
      </c:catAx>
      <c:valAx>
        <c:axId val="764008255"/>
        <c:scaling>
          <c:orientation val="minMax"/>
        </c:scaling>
        <c:delete val="1"/>
        <c:axPos val="l"/>
        <c:majorGridlines>
          <c:spPr>
            <a:ln w="9525" cap="rnd" cmpd="sng" algn="ctr">
              <a:solidFill>
                <a:srgbClr val="E5B244">
                  <a:alpha val="35000"/>
                </a:srgbClr>
              </a:solidFill>
              <a:prstDash val="lgDashDot"/>
              <a:round/>
            </a:ln>
            <a:effectLst/>
          </c:spPr>
        </c:majorGridlines>
        <c:numFmt formatCode="_ * #,##0_ ;_ * \-#,##0_ ;_ * &quot;-&quot;??_ ;_ @_ " sourceLinked="1"/>
        <c:majorTickMark val="none"/>
        <c:minorTickMark val="none"/>
        <c:tickLblPos val="nextTo"/>
        <c:crossAx val="7640072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Dashborad.xlsx]PivotTables!PivotTable22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07882285022356"/>
          <c:y val="6.4833002550778757E-2"/>
          <c:w val="0.76580412386357488"/>
          <c:h val="0.8415193270980964"/>
        </c:manualLayout>
      </c:layout>
      <c:barChart>
        <c:barDir val="bar"/>
        <c:grouping val="clustered"/>
        <c:varyColors val="0"/>
        <c:ser>
          <c:idx val="0"/>
          <c:order val="0"/>
          <c:tx>
            <c:strRef>
              <c:f>PivotTables!$V$4</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PivotTables!$U$5:$U$10</c:f>
              <c:strCache>
                <c:ptCount val="5"/>
                <c:pt idx="0">
                  <c:v>East</c:v>
                </c:pt>
                <c:pt idx="1">
                  <c:v>Central</c:v>
                </c:pt>
                <c:pt idx="2">
                  <c:v>North</c:v>
                </c:pt>
                <c:pt idx="3">
                  <c:v>South</c:v>
                </c:pt>
                <c:pt idx="4">
                  <c:v>West</c:v>
                </c:pt>
              </c:strCache>
            </c:strRef>
          </c:cat>
          <c:val>
            <c:numRef>
              <c:f>PivotTables!$V$5:$V$10</c:f>
              <c:numCache>
                <c:formatCode>General</c:formatCode>
                <c:ptCount val="5"/>
                <c:pt idx="0">
                  <c:v>10</c:v>
                </c:pt>
                <c:pt idx="1">
                  <c:v>14</c:v>
                </c:pt>
                <c:pt idx="2">
                  <c:v>7</c:v>
                </c:pt>
                <c:pt idx="3">
                  <c:v>10</c:v>
                </c:pt>
                <c:pt idx="4">
                  <c:v>9</c:v>
                </c:pt>
              </c:numCache>
            </c:numRef>
          </c:val>
          <c:extLst>
            <c:ext xmlns:c16="http://schemas.microsoft.com/office/drawing/2014/chart" uri="{C3380CC4-5D6E-409C-BE32-E72D297353CC}">
              <c16:uniqueId val="{00000000-CF2D-403E-A2D8-5BD0258669FD}"/>
            </c:ext>
          </c:extLst>
        </c:ser>
        <c:dLbls>
          <c:dLblPos val="outEnd"/>
          <c:showLegendKey val="0"/>
          <c:showVal val="1"/>
          <c:showCatName val="0"/>
          <c:showSerName val="0"/>
          <c:showPercent val="0"/>
          <c:showBubbleSize val="0"/>
        </c:dLbls>
        <c:gapWidth val="25"/>
        <c:axId val="681606559"/>
        <c:axId val="681607039"/>
      </c:barChart>
      <c:catAx>
        <c:axId val="68160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1607039"/>
        <c:crosses val="autoZero"/>
        <c:auto val="1"/>
        <c:lblAlgn val="ctr"/>
        <c:lblOffset val="100"/>
        <c:noMultiLvlLbl val="0"/>
      </c:catAx>
      <c:valAx>
        <c:axId val="681607039"/>
        <c:scaling>
          <c:orientation val="minMax"/>
        </c:scaling>
        <c:delete val="1"/>
        <c:axPos val="b"/>
        <c:numFmt formatCode="General" sourceLinked="1"/>
        <c:majorTickMark val="none"/>
        <c:minorTickMark val="none"/>
        <c:tickLblPos val="nextTo"/>
        <c:crossAx val="68160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4.png"/><Relationship Id="rId3" Type="http://schemas.openxmlformats.org/officeDocument/2006/relationships/chart" Target="../charts/chart6.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png"/><Relationship Id="rId11" Type="http://schemas.openxmlformats.org/officeDocument/2006/relationships/chart" Target="../charts/chart12.xml"/><Relationship Id="rId5" Type="http://schemas.openxmlformats.org/officeDocument/2006/relationships/chart" Target="../charts/chart8.xml"/><Relationship Id="rId10" Type="http://schemas.openxmlformats.org/officeDocument/2006/relationships/chart" Target="../charts/chart11.xml"/><Relationship Id="rId4" Type="http://schemas.openxmlformats.org/officeDocument/2006/relationships/chart" Target="../charts/chart7.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116297</xdr:rowOff>
    </xdr:from>
    <xdr:to>
      <xdr:col>6</xdr:col>
      <xdr:colOff>479697</xdr:colOff>
      <xdr:row>51</xdr:row>
      <xdr:rowOff>116296</xdr:rowOff>
    </xdr:to>
    <xdr:graphicFrame macro="">
      <xdr:nvGraphicFramePr>
        <xdr:cNvPr id="2" name="Chart 1">
          <a:extLst>
            <a:ext uri="{FF2B5EF4-FFF2-40B4-BE49-F238E27FC236}">
              <a16:creationId xmlns:a16="http://schemas.microsoft.com/office/drawing/2014/main" id="{C546A3B0-B40C-DF16-A73F-49897475C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577122</xdr:colOff>
      <xdr:row>67</xdr:row>
      <xdr:rowOff>4645</xdr:rowOff>
    </xdr:from>
    <xdr:to>
      <xdr:col>10</xdr:col>
      <xdr:colOff>103222</xdr:colOff>
      <xdr:row>73</xdr:row>
      <xdr:rowOff>13272</xdr:rowOff>
    </xdr:to>
    <xdr:graphicFrame macro="">
      <xdr:nvGraphicFramePr>
        <xdr:cNvPr id="9" name="Chart 8">
          <a:extLst>
            <a:ext uri="{FF2B5EF4-FFF2-40B4-BE49-F238E27FC236}">
              <a16:creationId xmlns:a16="http://schemas.microsoft.com/office/drawing/2014/main" id="{92395235-3358-92EE-2016-430454776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491067</xdr:colOff>
      <xdr:row>45</xdr:row>
      <xdr:rowOff>84667</xdr:rowOff>
    </xdr:from>
    <xdr:to>
      <xdr:col>17</xdr:col>
      <xdr:colOff>1337734</xdr:colOff>
      <xdr:row>60</xdr:row>
      <xdr:rowOff>33867</xdr:rowOff>
    </xdr:to>
    <xdr:graphicFrame macro="">
      <xdr:nvGraphicFramePr>
        <xdr:cNvPr id="18" name="Chart 17">
          <a:extLst>
            <a:ext uri="{FF2B5EF4-FFF2-40B4-BE49-F238E27FC236}">
              <a16:creationId xmlns:a16="http://schemas.microsoft.com/office/drawing/2014/main" id="{A3863628-7F6D-0A92-D600-02BBE33A6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131380</xdr:rowOff>
    </xdr:from>
    <xdr:to>
      <xdr:col>41</xdr:col>
      <xdr:colOff>183930</xdr:colOff>
      <xdr:row>55</xdr:row>
      <xdr:rowOff>163388</xdr:rowOff>
    </xdr:to>
    <xdr:sp macro="" textlink="">
      <xdr:nvSpPr>
        <xdr:cNvPr id="2" name="Rectangle: Rounded Corners 1">
          <a:extLst>
            <a:ext uri="{FF2B5EF4-FFF2-40B4-BE49-F238E27FC236}">
              <a16:creationId xmlns:a16="http://schemas.microsoft.com/office/drawing/2014/main" id="{29CBD80B-1878-DD9E-285A-6F3237386F58}"/>
            </a:ext>
          </a:extLst>
        </xdr:cNvPr>
        <xdr:cNvSpPr/>
      </xdr:nvSpPr>
      <xdr:spPr>
        <a:xfrm>
          <a:off x="0" y="643759"/>
          <a:ext cx="25750344" cy="8913250"/>
        </a:xfrm>
        <a:prstGeom prst="roundRect">
          <a:avLst>
            <a:gd name="adj" fmla="val 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358771</xdr:colOff>
      <xdr:row>36</xdr:row>
      <xdr:rowOff>867</xdr:rowOff>
    </xdr:from>
    <xdr:to>
      <xdr:col>22</xdr:col>
      <xdr:colOff>96039</xdr:colOff>
      <xdr:row>49</xdr:row>
      <xdr:rowOff>29525</xdr:rowOff>
    </xdr:to>
    <xdr:sp macro="" textlink="">
      <xdr:nvSpPr>
        <xdr:cNvPr id="6" name="Rectangle: Rounded Corners 5">
          <a:extLst>
            <a:ext uri="{FF2B5EF4-FFF2-40B4-BE49-F238E27FC236}">
              <a16:creationId xmlns:a16="http://schemas.microsoft.com/office/drawing/2014/main" id="{8120F73C-D41D-46B6-9198-F6F4052A003F}"/>
            </a:ext>
          </a:extLst>
        </xdr:cNvPr>
        <xdr:cNvSpPr/>
      </xdr:nvSpPr>
      <xdr:spPr>
        <a:xfrm>
          <a:off x="12025254" y="6149419"/>
          <a:ext cx="2758992" cy="2248968"/>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569377</xdr:colOff>
      <xdr:row>47</xdr:row>
      <xdr:rowOff>164122</xdr:rowOff>
    </xdr:from>
    <xdr:to>
      <xdr:col>21</xdr:col>
      <xdr:colOff>582576</xdr:colOff>
      <xdr:row>48</xdr:row>
      <xdr:rowOff>152400</xdr:rowOff>
    </xdr:to>
    <xdr:sp macro="" textlink="">
      <xdr:nvSpPr>
        <xdr:cNvPr id="56" name="Rectangle: Rounded Corners 55">
          <a:extLst>
            <a:ext uri="{FF2B5EF4-FFF2-40B4-BE49-F238E27FC236}">
              <a16:creationId xmlns:a16="http://schemas.microsoft.com/office/drawing/2014/main" id="{2D2A1819-C333-A57F-0496-31B9B88E9E16}"/>
            </a:ext>
          </a:extLst>
        </xdr:cNvPr>
        <xdr:cNvSpPr/>
      </xdr:nvSpPr>
      <xdr:spPr>
        <a:xfrm>
          <a:off x="14048894" y="8191398"/>
          <a:ext cx="617544" cy="159071"/>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592823</xdr:colOff>
      <xdr:row>42</xdr:row>
      <xdr:rowOff>70338</xdr:rowOff>
    </xdr:from>
    <xdr:to>
      <xdr:col>22</xdr:col>
      <xdr:colOff>1677</xdr:colOff>
      <xdr:row>43</xdr:row>
      <xdr:rowOff>58615</xdr:rowOff>
    </xdr:to>
    <xdr:sp macro="" textlink="">
      <xdr:nvSpPr>
        <xdr:cNvPr id="2068" name="Rectangle: Rounded Corners 2067">
          <a:extLst>
            <a:ext uri="{FF2B5EF4-FFF2-40B4-BE49-F238E27FC236}">
              <a16:creationId xmlns:a16="http://schemas.microsoft.com/office/drawing/2014/main" id="{CA8B5652-9B46-4A66-A7CE-90BD4604EA75}"/>
            </a:ext>
          </a:extLst>
        </xdr:cNvPr>
        <xdr:cNvSpPr/>
      </xdr:nvSpPr>
      <xdr:spPr>
        <a:xfrm>
          <a:off x="14072340" y="7243648"/>
          <a:ext cx="617544" cy="15907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545930</xdr:colOff>
      <xdr:row>40</xdr:row>
      <xdr:rowOff>152398</xdr:rowOff>
    </xdr:from>
    <xdr:to>
      <xdr:col>21</xdr:col>
      <xdr:colOff>559129</xdr:colOff>
      <xdr:row>41</xdr:row>
      <xdr:rowOff>140675</xdr:rowOff>
    </xdr:to>
    <xdr:sp macro="" textlink="">
      <xdr:nvSpPr>
        <xdr:cNvPr id="2069" name="Rectangle: Rounded Corners 2068">
          <a:extLst>
            <a:ext uri="{FF2B5EF4-FFF2-40B4-BE49-F238E27FC236}">
              <a16:creationId xmlns:a16="http://schemas.microsoft.com/office/drawing/2014/main" id="{088B5BE1-BDC9-4ADA-A872-E31B1FE0B332}"/>
            </a:ext>
          </a:extLst>
        </xdr:cNvPr>
        <xdr:cNvSpPr/>
      </xdr:nvSpPr>
      <xdr:spPr>
        <a:xfrm>
          <a:off x="14025447" y="6984122"/>
          <a:ext cx="617544" cy="15907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592823</xdr:colOff>
      <xdr:row>45</xdr:row>
      <xdr:rowOff>23444</xdr:rowOff>
    </xdr:from>
    <xdr:to>
      <xdr:col>22</xdr:col>
      <xdr:colOff>1677</xdr:colOff>
      <xdr:row>46</xdr:row>
      <xdr:rowOff>11721</xdr:rowOff>
    </xdr:to>
    <xdr:sp macro="" textlink="">
      <xdr:nvSpPr>
        <xdr:cNvPr id="2070" name="Rectangle: Rounded Corners 2069">
          <a:extLst>
            <a:ext uri="{FF2B5EF4-FFF2-40B4-BE49-F238E27FC236}">
              <a16:creationId xmlns:a16="http://schemas.microsoft.com/office/drawing/2014/main" id="{BC42E230-74B3-40E4-AFAC-33C73C7F8C5A}"/>
            </a:ext>
          </a:extLst>
        </xdr:cNvPr>
        <xdr:cNvSpPr/>
      </xdr:nvSpPr>
      <xdr:spPr>
        <a:xfrm>
          <a:off x="14072340" y="7709134"/>
          <a:ext cx="617544" cy="15907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592823</xdr:colOff>
      <xdr:row>43</xdr:row>
      <xdr:rowOff>140676</xdr:rowOff>
    </xdr:from>
    <xdr:to>
      <xdr:col>22</xdr:col>
      <xdr:colOff>1677</xdr:colOff>
      <xdr:row>44</xdr:row>
      <xdr:rowOff>128952</xdr:rowOff>
    </xdr:to>
    <xdr:sp macro="" textlink="">
      <xdr:nvSpPr>
        <xdr:cNvPr id="2071" name="Rectangle: Rounded Corners 2070">
          <a:extLst>
            <a:ext uri="{FF2B5EF4-FFF2-40B4-BE49-F238E27FC236}">
              <a16:creationId xmlns:a16="http://schemas.microsoft.com/office/drawing/2014/main" id="{0CCC866A-53DC-40E0-91F3-25C7626FC26C}"/>
            </a:ext>
          </a:extLst>
        </xdr:cNvPr>
        <xdr:cNvSpPr/>
      </xdr:nvSpPr>
      <xdr:spPr>
        <a:xfrm>
          <a:off x="14072340" y="7484779"/>
          <a:ext cx="617544" cy="15907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545930</xdr:colOff>
      <xdr:row>46</xdr:row>
      <xdr:rowOff>82060</xdr:rowOff>
    </xdr:from>
    <xdr:to>
      <xdr:col>21</xdr:col>
      <xdr:colOff>559129</xdr:colOff>
      <xdr:row>47</xdr:row>
      <xdr:rowOff>70336</xdr:rowOff>
    </xdr:to>
    <xdr:sp macro="" textlink="">
      <xdr:nvSpPr>
        <xdr:cNvPr id="2072" name="Rectangle: Rounded Corners 2071">
          <a:extLst>
            <a:ext uri="{FF2B5EF4-FFF2-40B4-BE49-F238E27FC236}">
              <a16:creationId xmlns:a16="http://schemas.microsoft.com/office/drawing/2014/main" id="{AFF9F16A-0B81-4920-84F2-D46F2AC69409}"/>
            </a:ext>
          </a:extLst>
        </xdr:cNvPr>
        <xdr:cNvSpPr/>
      </xdr:nvSpPr>
      <xdr:spPr>
        <a:xfrm>
          <a:off x="14025447" y="7938543"/>
          <a:ext cx="617544" cy="159069"/>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144518</xdr:colOff>
      <xdr:row>38</xdr:row>
      <xdr:rowOff>114889</xdr:rowOff>
    </xdr:from>
    <xdr:to>
      <xdr:col>11</xdr:col>
      <xdr:colOff>464433</xdr:colOff>
      <xdr:row>49</xdr:row>
      <xdr:rowOff>30697</xdr:rowOff>
    </xdr:to>
    <xdr:sp macro="" textlink="">
      <xdr:nvSpPr>
        <xdr:cNvPr id="3" name="Rectangle: Rounded Corners 2">
          <a:extLst>
            <a:ext uri="{FF2B5EF4-FFF2-40B4-BE49-F238E27FC236}">
              <a16:creationId xmlns:a16="http://schemas.microsoft.com/office/drawing/2014/main" id="{D7915F29-0E02-5DC0-11CC-A8747CCD7721}"/>
            </a:ext>
          </a:extLst>
        </xdr:cNvPr>
        <xdr:cNvSpPr/>
      </xdr:nvSpPr>
      <xdr:spPr>
        <a:xfrm>
          <a:off x="6214242" y="6605027"/>
          <a:ext cx="2290605" cy="1794532"/>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154957</xdr:colOff>
      <xdr:row>19</xdr:row>
      <xdr:rowOff>11373</xdr:rowOff>
    </xdr:from>
    <xdr:to>
      <xdr:col>11</xdr:col>
      <xdr:colOff>470639</xdr:colOff>
      <xdr:row>37</xdr:row>
      <xdr:rowOff>146870</xdr:rowOff>
    </xdr:to>
    <xdr:sp macro="" textlink="">
      <xdr:nvSpPr>
        <xdr:cNvPr id="4" name="Rectangle: Rounded Corners 3">
          <a:extLst>
            <a:ext uri="{FF2B5EF4-FFF2-40B4-BE49-F238E27FC236}">
              <a16:creationId xmlns:a16="http://schemas.microsoft.com/office/drawing/2014/main" id="{4E8C1F91-8D64-4357-9815-87C3B29E9F7A}"/>
            </a:ext>
          </a:extLst>
        </xdr:cNvPr>
        <xdr:cNvSpPr/>
      </xdr:nvSpPr>
      <xdr:spPr>
        <a:xfrm>
          <a:off x="6224681" y="3256442"/>
          <a:ext cx="2286372" cy="3209773"/>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58417</xdr:colOff>
      <xdr:row>36</xdr:row>
      <xdr:rowOff>24873</xdr:rowOff>
    </xdr:from>
    <xdr:to>
      <xdr:col>17</xdr:col>
      <xdr:colOff>163546</xdr:colOff>
      <xdr:row>49</xdr:row>
      <xdr:rowOff>60005</xdr:rowOff>
    </xdr:to>
    <xdr:sp macro="" textlink="">
      <xdr:nvSpPr>
        <xdr:cNvPr id="5" name="Rectangle: Rounded Corners 4">
          <a:extLst>
            <a:ext uri="{FF2B5EF4-FFF2-40B4-BE49-F238E27FC236}">
              <a16:creationId xmlns:a16="http://schemas.microsoft.com/office/drawing/2014/main" id="{A31DC654-CD0E-48A2-9AA3-BC0F821FBD96}"/>
            </a:ext>
          </a:extLst>
        </xdr:cNvPr>
        <xdr:cNvSpPr/>
      </xdr:nvSpPr>
      <xdr:spPr>
        <a:xfrm>
          <a:off x="8703176" y="6173425"/>
          <a:ext cx="3126853" cy="2255442"/>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346639</xdr:colOff>
      <xdr:row>19</xdr:row>
      <xdr:rowOff>108458</xdr:rowOff>
    </xdr:from>
    <xdr:to>
      <xdr:col>22</xdr:col>
      <xdr:colOff>83906</xdr:colOff>
      <xdr:row>35</xdr:row>
      <xdr:rowOff>11373</xdr:rowOff>
    </xdr:to>
    <xdr:sp macro="" textlink="">
      <xdr:nvSpPr>
        <xdr:cNvPr id="7" name="Rectangle: Rounded Corners 6">
          <a:extLst>
            <a:ext uri="{FF2B5EF4-FFF2-40B4-BE49-F238E27FC236}">
              <a16:creationId xmlns:a16="http://schemas.microsoft.com/office/drawing/2014/main" id="{38BA8C3C-28E6-4A13-BB54-DAEAA14B7F45}"/>
            </a:ext>
          </a:extLst>
        </xdr:cNvPr>
        <xdr:cNvSpPr/>
      </xdr:nvSpPr>
      <xdr:spPr>
        <a:xfrm>
          <a:off x="12013122" y="3353527"/>
          <a:ext cx="2758991" cy="2635605"/>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43763</xdr:colOff>
      <xdr:row>19</xdr:row>
      <xdr:rowOff>136479</xdr:rowOff>
    </xdr:from>
    <xdr:to>
      <xdr:col>17</xdr:col>
      <xdr:colOff>148891</xdr:colOff>
      <xdr:row>27</xdr:row>
      <xdr:rowOff>0</xdr:rowOff>
    </xdr:to>
    <xdr:sp macro="" textlink="">
      <xdr:nvSpPr>
        <xdr:cNvPr id="8" name="Rectangle: Rounded Corners 7">
          <a:extLst>
            <a:ext uri="{FF2B5EF4-FFF2-40B4-BE49-F238E27FC236}">
              <a16:creationId xmlns:a16="http://schemas.microsoft.com/office/drawing/2014/main" id="{83B37957-2C66-4007-BDA2-2DF429416F79}"/>
            </a:ext>
          </a:extLst>
        </xdr:cNvPr>
        <xdr:cNvSpPr/>
      </xdr:nvSpPr>
      <xdr:spPr>
        <a:xfrm>
          <a:off x="8688522" y="3381548"/>
          <a:ext cx="3126852" cy="1229866"/>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11115</xdr:colOff>
      <xdr:row>28</xdr:row>
      <xdr:rowOff>48318</xdr:rowOff>
    </xdr:from>
    <xdr:to>
      <xdr:col>14</xdr:col>
      <xdr:colOff>316090</xdr:colOff>
      <xdr:row>34</xdr:row>
      <xdr:rowOff>73241</xdr:rowOff>
    </xdr:to>
    <xdr:sp macro="" textlink="">
      <xdr:nvSpPr>
        <xdr:cNvPr id="9" name="Rectangle: Rounded Corners 8">
          <a:extLst>
            <a:ext uri="{FF2B5EF4-FFF2-40B4-BE49-F238E27FC236}">
              <a16:creationId xmlns:a16="http://schemas.microsoft.com/office/drawing/2014/main" id="{785C4E7F-51CD-4864-95A3-02D32F9572DD}"/>
            </a:ext>
          </a:extLst>
        </xdr:cNvPr>
        <xdr:cNvSpPr/>
      </xdr:nvSpPr>
      <xdr:spPr>
        <a:xfrm>
          <a:off x="8655874" y="4830525"/>
          <a:ext cx="1513664" cy="1049682"/>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388007</xdr:colOff>
      <xdr:row>28</xdr:row>
      <xdr:rowOff>38020</xdr:rowOff>
    </xdr:from>
    <xdr:to>
      <xdr:col>17</xdr:col>
      <xdr:colOff>220014</xdr:colOff>
      <xdr:row>34</xdr:row>
      <xdr:rowOff>62943</xdr:rowOff>
    </xdr:to>
    <xdr:sp macro="" textlink="">
      <xdr:nvSpPr>
        <xdr:cNvPr id="10" name="Rectangle: Rounded Corners 9">
          <a:extLst>
            <a:ext uri="{FF2B5EF4-FFF2-40B4-BE49-F238E27FC236}">
              <a16:creationId xmlns:a16="http://schemas.microsoft.com/office/drawing/2014/main" id="{987400BE-F140-49E9-9766-CA5698F74694}"/>
            </a:ext>
          </a:extLst>
        </xdr:cNvPr>
        <xdr:cNvSpPr/>
      </xdr:nvSpPr>
      <xdr:spPr>
        <a:xfrm>
          <a:off x="10241455" y="4820227"/>
          <a:ext cx="1645042" cy="1049682"/>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302678</xdr:colOff>
      <xdr:row>34</xdr:row>
      <xdr:rowOff>161191</xdr:rowOff>
    </xdr:from>
    <xdr:to>
      <xdr:col>28</xdr:col>
      <xdr:colOff>258717</xdr:colOff>
      <xdr:row>49</xdr:row>
      <xdr:rowOff>60004</xdr:rowOff>
    </xdr:to>
    <xdr:grpSp>
      <xdr:nvGrpSpPr>
        <xdr:cNvPr id="18" name="Group 17">
          <a:extLst>
            <a:ext uri="{FF2B5EF4-FFF2-40B4-BE49-F238E27FC236}">
              <a16:creationId xmlns:a16="http://schemas.microsoft.com/office/drawing/2014/main" id="{D2E94590-E537-093A-C62F-DD95D7B71741}"/>
            </a:ext>
          </a:extLst>
        </xdr:cNvPr>
        <xdr:cNvGrpSpPr/>
      </xdr:nvGrpSpPr>
      <xdr:grpSpPr>
        <a:xfrm>
          <a:off x="15069436" y="6160938"/>
          <a:ext cx="2996018" cy="2545761"/>
          <a:chOff x="7517422" y="5202114"/>
          <a:chExt cx="3033347" cy="2770967"/>
        </a:xfrm>
      </xdr:grpSpPr>
      <xdr:sp macro="" textlink="">
        <xdr:nvSpPr>
          <xdr:cNvPr id="11" name="Rectangle: Rounded Corners 10">
            <a:extLst>
              <a:ext uri="{FF2B5EF4-FFF2-40B4-BE49-F238E27FC236}">
                <a16:creationId xmlns:a16="http://schemas.microsoft.com/office/drawing/2014/main" id="{13264E44-DC8C-4EF9-B0E6-B1F8912FE417}"/>
              </a:ext>
            </a:extLst>
          </xdr:cNvPr>
          <xdr:cNvSpPr/>
        </xdr:nvSpPr>
        <xdr:spPr>
          <a:xfrm>
            <a:off x="7517422" y="6669817"/>
            <a:ext cx="1329916" cy="1303264"/>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87818071-A583-4963-8705-9038DBD3020E}"/>
              </a:ext>
            </a:extLst>
          </xdr:cNvPr>
          <xdr:cNvSpPr/>
        </xdr:nvSpPr>
        <xdr:spPr>
          <a:xfrm>
            <a:off x="9159498" y="5202114"/>
            <a:ext cx="1329916" cy="1303264"/>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4DA7D79F-EDE7-4605-A784-0D96D3563037}"/>
              </a:ext>
            </a:extLst>
          </xdr:cNvPr>
          <xdr:cNvSpPr/>
        </xdr:nvSpPr>
        <xdr:spPr>
          <a:xfrm>
            <a:off x="9220853" y="6669817"/>
            <a:ext cx="1329916" cy="1303264"/>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22</xdr:col>
      <xdr:colOff>223130</xdr:colOff>
      <xdr:row>23</xdr:row>
      <xdr:rowOff>4903</xdr:rowOff>
    </xdr:from>
    <xdr:to>
      <xdr:col>27</xdr:col>
      <xdr:colOff>1063848</xdr:colOff>
      <xdr:row>32</xdr:row>
      <xdr:rowOff>86587</xdr:rowOff>
    </xdr:to>
    <xdr:sp macro="" textlink="">
      <xdr:nvSpPr>
        <xdr:cNvPr id="15" name="Rectangle: Rounded Corners 14">
          <a:extLst>
            <a:ext uri="{FF2B5EF4-FFF2-40B4-BE49-F238E27FC236}">
              <a16:creationId xmlns:a16="http://schemas.microsoft.com/office/drawing/2014/main" id="{1E26C174-B97B-41B4-88E7-E29C4747838A}"/>
            </a:ext>
          </a:extLst>
        </xdr:cNvPr>
        <xdr:cNvSpPr/>
      </xdr:nvSpPr>
      <xdr:spPr>
        <a:xfrm>
          <a:off x="14911337" y="3933144"/>
          <a:ext cx="2785132" cy="1618822"/>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214965</xdr:colOff>
      <xdr:row>12</xdr:row>
      <xdr:rowOff>6489</xdr:rowOff>
    </xdr:from>
    <xdr:to>
      <xdr:col>27</xdr:col>
      <xdr:colOff>1055683</xdr:colOff>
      <xdr:row>21</xdr:row>
      <xdr:rowOff>94412</xdr:rowOff>
    </xdr:to>
    <xdr:sp macro="" textlink="">
      <xdr:nvSpPr>
        <xdr:cNvPr id="16" name="Rectangle: Rounded Corners 15">
          <a:extLst>
            <a:ext uri="{FF2B5EF4-FFF2-40B4-BE49-F238E27FC236}">
              <a16:creationId xmlns:a16="http://schemas.microsoft.com/office/drawing/2014/main" id="{47D6EC45-B436-4E5D-BE7F-CAF576B607AA}"/>
            </a:ext>
          </a:extLst>
        </xdr:cNvPr>
        <xdr:cNvSpPr/>
      </xdr:nvSpPr>
      <xdr:spPr>
        <a:xfrm>
          <a:off x="14903172" y="2056006"/>
          <a:ext cx="2785132" cy="1625061"/>
        </a:xfrm>
        <a:prstGeom prst="roundRect">
          <a:avLst>
            <a:gd name="adj" fmla="val 1132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0</xdr:colOff>
      <xdr:row>35</xdr:row>
      <xdr:rowOff>34118</xdr:rowOff>
    </xdr:from>
    <xdr:to>
      <xdr:col>27</xdr:col>
      <xdr:colOff>853698</xdr:colOff>
      <xdr:row>39</xdr:row>
      <xdr:rowOff>62204</xdr:rowOff>
    </xdr:to>
    <xdr:sp macro="" textlink="">
      <xdr:nvSpPr>
        <xdr:cNvPr id="19" name="TextBox 18">
          <a:extLst>
            <a:ext uri="{FF2B5EF4-FFF2-40B4-BE49-F238E27FC236}">
              <a16:creationId xmlns:a16="http://schemas.microsoft.com/office/drawing/2014/main" id="{AC0A12B7-2C44-651E-8295-CA513CD7E87E}"/>
            </a:ext>
          </a:extLst>
        </xdr:cNvPr>
        <xdr:cNvSpPr txBox="1"/>
      </xdr:nvSpPr>
      <xdr:spPr>
        <a:xfrm>
          <a:off x="16632621" y="6011877"/>
          <a:ext cx="853698" cy="71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Part</a:t>
          </a:r>
          <a:r>
            <a:rPr lang="en-IN" sz="1100" baseline="0">
              <a:solidFill>
                <a:schemeClr val="bg1"/>
              </a:solidFill>
            </a:rPr>
            <a:t> </a:t>
          </a:r>
        </a:p>
        <a:p>
          <a:r>
            <a:rPr lang="en-IN" sz="1100" baseline="0">
              <a:solidFill>
                <a:schemeClr val="bg1"/>
              </a:solidFill>
            </a:rPr>
            <a:t>time</a:t>
          </a:r>
        </a:p>
        <a:p>
          <a:r>
            <a:rPr lang="en-IN" sz="1100" baseline="0">
              <a:solidFill>
                <a:schemeClr val="bg1"/>
              </a:solidFill>
            </a:rPr>
            <a:t> employees</a:t>
          </a:r>
          <a:endParaRPr lang="en-IN" sz="1100">
            <a:solidFill>
              <a:schemeClr val="bg1"/>
            </a:solidFill>
          </a:endParaRPr>
        </a:p>
      </xdr:txBody>
    </xdr:sp>
    <xdr:clientData/>
  </xdr:twoCellAnchor>
  <xdr:twoCellAnchor>
    <xdr:from>
      <xdr:col>27</xdr:col>
      <xdr:colOff>775941</xdr:colOff>
      <xdr:row>37</xdr:row>
      <xdr:rowOff>108858</xdr:rowOff>
    </xdr:from>
    <xdr:to>
      <xdr:col>28</xdr:col>
      <xdr:colOff>225221</xdr:colOff>
      <xdr:row>40</xdr:row>
      <xdr:rowOff>54429</xdr:rowOff>
    </xdr:to>
    <xdr:sp macro="" textlink="PivotTables!C13">
      <xdr:nvSpPr>
        <xdr:cNvPr id="20" name="TextBox 19">
          <a:extLst>
            <a:ext uri="{FF2B5EF4-FFF2-40B4-BE49-F238E27FC236}">
              <a16:creationId xmlns:a16="http://schemas.microsoft.com/office/drawing/2014/main" id="{B30BA91D-56E4-426E-9BE6-28DC5FBB6B11}"/>
            </a:ext>
          </a:extLst>
        </xdr:cNvPr>
        <xdr:cNvSpPr txBox="1"/>
      </xdr:nvSpPr>
      <xdr:spPr>
        <a:xfrm>
          <a:off x="17408562" y="6428203"/>
          <a:ext cx="526590" cy="457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C94B42-8766-49F0-95C1-174CB38B3C46}" type="TxLink">
            <a:rPr lang="en-US" sz="2400" b="1" i="0" u="none" strike="noStrike">
              <a:solidFill>
                <a:schemeClr val="bg1"/>
              </a:solidFill>
              <a:effectLst/>
              <a:latin typeface="Aptos Narrow"/>
              <a:ea typeface="+mn-ea"/>
              <a:cs typeface="+mn-cs"/>
            </a:rPr>
            <a:pPr/>
            <a:t>13</a:t>
          </a:fld>
          <a:endParaRPr lang="en-IN" sz="2400" b="1" baseline="0">
            <a:solidFill>
              <a:schemeClr val="bg1"/>
            </a:solidFill>
          </a:endParaRPr>
        </a:p>
      </xdr:txBody>
    </xdr:sp>
    <xdr:clientData/>
  </xdr:twoCellAnchor>
  <xdr:twoCellAnchor>
    <xdr:from>
      <xdr:col>27</xdr:col>
      <xdr:colOff>42479</xdr:colOff>
      <xdr:row>42</xdr:row>
      <xdr:rowOff>58833</xdr:rowOff>
    </xdr:from>
    <xdr:to>
      <xdr:col>27</xdr:col>
      <xdr:colOff>892575</xdr:colOff>
      <xdr:row>46</xdr:row>
      <xdr:rowOff>23325</xdr:rowOff>
    </xdr:to>
    <xdr:sp macro="" textlink="">
      <xdr:nvSpPr>
        <xdr:cNvPr id="24" name="TextBox 23">
          <a:extLst>
            <a:ext uri="{FF2B5EF4-FFF2-40B4-BE49-F238E27FC236}">
              <a16:creationId xmlns:a16="http://schemas.microsoft.com/office/drawing/2014/main" id="{DAF8D006-9DAB-404A-BCE6-F620F96F5501}"/>
            </a:ext>
          </a:extLst>
        </xdr:cNvPr>
        <xdr:cNvSpPr txBox="1"/>
      </xdr:nvSpPr>
      <xdr:spPr>
        <a:xfrm>
          <a:off x="16675100" y="7232143"/>
          <a:ext cx="850096" cy="64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rPr>
            <a:t>full </a:t>
          </a:r>
        </a:p>
        <a:p>
          <a:r>
            <a:rPr lang="en-IN" sz="1100" baseline="0">
              <a:solidFill>
                <a:schemeClr val="bg1"/>
              </a:solidFill>
            </a:rPr>
            <a:t>time employees</a:t>
          </a:r>
          <a:endParaRPr lang="en-IN" sz="1100">
            <a:solidFill>
              <a:schemeClr val="bg1"/>
            </a:solidFill>
          </a:endParaRPr>
        </a:p>
      </xdr:txBody>
    </xdr:sp>
    <xdr:clientData/>
  </xdr:twoCellAnchor>
  <xdr:twoCellAnchor>
    <xdr:from>
      <xdr:col>27</xdr:col>
      <xdr:colOff>826265</xdr:colOff>
      <xdr:row>45</xdr:row>
      <xdr:rowOff>97854</xdr:rowOff>
    </xdr:from>
    <xdr:to>
      <xdr:col>28</xdr:col>
      <xdr:colOff>244163</xdr:colOff>
      <xdr:row>48</xdr:row>
      <xdr:rowOff>120602</xdr:rowOff>
    </xdr:to>
    <xdr:sp macro="" textlink="PivotTables!C12">
      <xdr:nvSpPr>
        <xdr:cNvPr id="26" name="TextBox 25">
          <a:extLst>
            <a:ext uri="{FF2B5EF4-FFF2-40B4-BE49-F238E27FC236}">
              <a16:creationId xmlns:a16="http://schemas.microsoft.com/office/drawing/2014/main" id="{9222FB98-6B6F-4090-9F64-B9ADE0ECBFCC}"/>
            </a:ext>
          </a:extLst>
        </xdr:cNvPr>
        <xdr:cNvSpPr txBox="1"/>
      </xdr:nvSpPr>
      <xdr:spPr>
        <a:xfrm>
          <a:off x="17458886" y="7783544"/>
          <a:ext cx="495208" cy="535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251E9F-69AB-4319-9B99-90FCEB2C4035}" type="TxLink">
            <a:rPr lang="en-US" sz="2400" b="1" i="0" u="none" strike="noStrike">
              <a:solidFill>
                <a:schemeClr val="bg1"/>
              </a:solidFill>
              <a:effectLst/>
              <a:latin typeface="Aptos Narrow"/>
              <a:ea typeface="+mn-ea"/>
              <a:cs typeface="+mn-cs"/>
            </a:rPr>
            <a:pPr/>
            <a:t>20</a:t>
          </a:fld>
          <a:endParaRPr lang="en-IN" sz="2400" b="1" baseline="0">
            <a:solidFill>
              <a:schemeClr val="bg1"/>
            </a:solidFill>
          </a:endParaRPr>
        </a:p>
      </xdr:txBody>
    </xdr:sp>
    <xdr:clientData/>
  </xdr:twoCellAnchor>
  <xdr:twoCellAnchor>
    <xdr:from>
      <xdr:col>23</xdr:col>
      <xdr:colOff>489290</xdr:colOff>
      <xdr:row>45</xdr:row>
      <xdr:rowOff>98988</xdr:rowOff>
    </xdr:from>
    <xdr:to>
      <xdr:col>24</xdr:col>
      <xdr:colOff>367862</xdr:colOff>
      <xdr:row>48</xdr:row>
      <xdr:rowOff>69981</xdr:rowOff>
    </xdr:to>
    <xdr:sp macro="" textlink="PivotTables!C11">
      <xdr:nvSpPr>
        <xdr:cNvPr id="27" name="TextBox 26">
          <a:extLst>
            <a:ext uri="{FF2B5EF4-FFF2-40B4-BE49-F238E27FC236}">
              <a16:creationId xmlns:a16="http://schemas.microsoft.com/office/drawing/2014/main" id="{697EB9E6-277A-451F-9E75-D422D9831F19}"/>
            </a:ext>
          </a:extLst>
        </xdr:cNvPr>
        <xdr:cNvSpPr txBox="1"/>
      </xdr:nvSpPr>
      <xdr:spPr>
        <a:xfrm>
          <a:off x="15781842" y="7784678"/>
          <a:ext cx="482917" cy="483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068F19-DFBD-4299-9753-F7406E6F8A6F}" type="TxLink">
            <a:rPr lang="en-US" sz="2400" b="1" i="0" u="none" strike="noStrike">
              <a:solidFill>
                <a:schemeClr val="bg1"/>
              </a:solidFill>
              <a:effectLst/>
              <a:latin typeface="Aptos Narrow"/>
              <a:ea typeface="+mn-ea"/>
              <a:cs typeface="+mn-cs"/>
            </a:rPr>
            <a:pPr/>
            <a:t>17</a:t>
          </a:fld>
          <a:endParaRPr lang="en-IN" sz="2400" b="1" baseline="0">
            <a:solidFill>
              <a:schemeClr val="bg1"/>
            </a:solidFill>
          </a:endParaRPr>
        </a:p>
      </xdr:txBody>
    </xdr:sp>
    <xdr:clientData/>
  </xdr:twoCellAnchor>
  <xdr:twoCellAnchor>
    <xdr:from>
      <xdr:col>22</xdr:col>
      <xdr:colOff>326259</xdr:colOff>
      <xdr:row>42</xdr:row>
      <xdr:rowOff>133478</xdr:rowOff>
    </xdr:from>
    <xdr:to>
      <xdr:col>23</xdr:col>
      <xdr:colOff>572010</xdr:colOff>
      <xdr:row>46</xdr:row>
      <xdr:rowOff>97970</xdr:rowOff>
    </xdr:to>
    <xdr:sp macro="" textlink="">
      <xdr:nvSpPr>
        <xdr:cNvPr id="29" name="TextBox 28">
          <a:extLst>
            <a:ext uri="{FF2B5EF4-FFF2-40B4-BE49-F238E27FC236}">
              <a16:creationId xmlns:a16="http://schemas.microsoft.com/office/drawing/2014/main" id="{6EC2349F-1335-4D40-B758-2EEDB4F6332B}"/>
            </a:ext>
          </a:extLst>
        </xdr:cNvPr>
        <xdr:cNvSpPr txBox="1"/>
      </xdr:nvSpPr>
      <xdr:spPr>
        <a:xfrm>
          <a:off x="15014466" y="7306788"/>
          <a:ext cx="850096" cy="64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rPr>
            <a:t>Employess</a:t>
          </a:r>
        </a:p>
        <a:p>
          <a:r>
            <a:rPr lang="en-IN" sz="1100" baseline="0">
              <a:solidFill>
                <a:schemeClr val="bg1"/>
              </a:solidFill>
            </a:rPr>
            <a:t>with</a:t>
          </a:r>
        </a:p>
        <a:p>
          <a:r>
            <a:rPr lang="en-IN" sz="1100" baseline="0">
              <a:solidFill>
                <a:schemeClr val="bg1"/>
              </a:solidFill>
            </a:rPr>
            <a:t>contacts</a:t>
          </a:r>
        </a:p>
      </xdr:txBody>
    </xdr:sp>
    <xdr:clientData/>
  </xdr:twoCellAnchor>
  <xdr:twoCellAnchor>
    <xdr:from>
      <xdr:col>17</xdr:col>
      <xdr:colOff>392879</xdr:colOff>
      <xdr:row>40</xdr:row>
      <xdr:rowOff>70712</xdr:rowOff>
    </xdr:from>
    <xdr:to>
      <xdr:col>20</xdr:col>
      <xdr:colOff>48427</xdr:colOff>
      <xdr:row>41</xdr:row>
      <xdr:rowOff>153839</xdr:rowOff>
    </xdr:to>
    <xdr:sp macro="" textlink="">
      <xdr:nvSpPr>
        <xdr:cNvPr id="34" name="TextBox 33">
          <a:extLst>
            <a:ext uri="{FF2B5EF4-FFF2-40B4-BE49-F238E27FC236}">
              <a16:creationId xmlns:a16="http://schemas.microsoft.com/office/drawing/2014/main" id="{514045CB-1F64-49C2-8AAB-364902F2FA29}"/>
            </a:ext>
          </a:extLst>
        </xdr:cNvPr>
        <xdr:cNvSpPr txBox="1"/>
      </xdr:nvSpPr>
      <xdr:spPr>
        <a:xfrm>
          <a:off x="12059362" y="6902436"/>
          <a:ext cx="1468582" cy="25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n-lt"/>
              <a:ea typeface="+mn-ea"/>
              <a:cs typeface="+mn-cs"/>
            </a:rPr>
            <a:t>Total </a:t>
          </a:r>
          <a:r>
            <a:rPr lang="en-US" sz="1100">
              <a:solidFill>
                <a:schemeClr val="bg1"/>
              </a:solidFill>
              <a:latin typeface="+mn-lt"/>
              <a:ea typeface="+mn-ea"/>
              <a:cs typeface="+mn-cs"/>
            </a:rPr>
            <a:t>Salaries </a:t>
          </a:r>
          <a:endParaRPr lang="en-IN" sz="1100">
            <a:solidFill>
              <a:schemeClr val="bg1"/>
            </a:solidFill>
            <a:latin typeface="+mn-lt"/>
            <a:ea typeface="+mn-ea"/>
            <a:cs typeface="+mn-cs"/>
          </a:endParaRPr>
        </a:p>
      </xdr:txBody>
    </xdr:sp>
    <xdr:clientData/>
  </xdr:twoCellAnchor>
  <xdr:twoCellAnchor>
    <xdr:from>
      <xdr:col>17</xdr:col>
      <xdr:colOff>373643</xdr:colOff>
      <xdr:row>41</xdr:row>
      <xdr:rowOff>146581</xdr:rowOff>
    </xdr:from>
    <xdr:to>
      <xdr:col>19</xdr:col>
      <xdr:colOff>193653</xdr:colOff>
      <xdr:row>43</xdr:row>
      <xdr:rowOff>40594</xdr:rowOff>
    </xdr:to>
    <xdr:sp macro="" textlink="">
      <xdr:nvSpPr>
        <xdr:cNvPr id="35" name="TextBox 34">
          <a:extLst>
            <a:ext uri="{FF2B5EF4-FFF2-40B4-BE49-F238E27FC236}">
              <a16:creationId xmlns:a16="http://schemas.microsoft.com/office/drawing/2014/main" id="{4E01F5D9-8B39-43BE-81A7-290C3EA71481}"/>
            </a:ext>
          </a:extLst>
        </xdr:cNvPr>
        <xdr:cNvSpPr txBox="1"/>
      </xdr:nvSpPr>
      <xdr:spPr>
        <a:xfrm>
          <a:off x="12040126" y="7149098"/>
          <a:ext cx="1028699" cy="23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Mangers </a:t>
          </a:r>
          <a:endParaRPr lang="en-IN" sz="1100">
            <a:solidFill>
              <a:schemeClr val="bg1"/>
            </a:solidFill>
          </a:endParaRPr>
        </a:p>
      </xdr:txBody>
    </xdr:sp>
    <xdr:clientData/>
  </xdr:twoCellAnchor>
  <xdr:twoCellAnchor>
    <xdr:from>
      <xdr:col>17</xdr:col>
      <xdr:colOff>368101</xdr:colOff>
      <xdr:row>43</xdr:row>
      <xdr:rowOff>21613</xdr:rowOff>
    </xdr:from>
    <xdr:to>
      <xdr:col>19</xdr:col>
      <xdr:colOff>461739</xdr:colOff>
      <xdr:row>44</xdr:row>
      <xdr:rowOff>110281</xdr:rowOff>
    </xdr:to>
    <xdr:sp macro="" textlink="">
      <xdr:nvSpPr>
        <xdr:cNvPr id="36" name="TextBox 35">
          <a:extLst>
            <a:ext uri="{FF2B5EF4-FFF2-40B4-BE49-F238E27FC236}">
              <a16:creationId xmlns:a16="http://schemas.microsoft.com/office/drawing/2014/main" id="{1375A0FB-0CDC-4A08-BB08-8B0CA1B46BEE}"/>
            </a:ext>
          </a:extLst>
        </xdr:cNvPr>
        <xdr:cNvSpPr txBox="1"/>
      </xdr:nvSpPr>
      <xdr:spPr>
        <a:xfrm>
          <a:off x="12034584" y="7365716"/>
          <a:ext cx="1302327" cy="259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HR Specialist</a:t>
          </a:r>
        </a:p>
      </xdr:txBody>
    </xdr:sp>
    <xdr:clientData/>
  </xdr:twoCellAnchor>
  <xdr:twoCellAnchor>
    <xdr:from>
      <xdr:col>17</xdr:col>
      <xdr:colOff>416990</xdr:colOff>
      <xdr:row>44</xdr:row>
      <xdr:rowOff>111092</xdr:rowOff>
    </xdr:from>
    <xdr:to>
      <xdr:col>19</xdr:col>
      <xdr:colOff>372083</xdr:colOff>
      <xdr:row>46</xdr:row>
      <xdr:rowOff>41818</xdr:rowOff>
    </xdr:to>
    <xdr:sp macro="" textlink="">
      <xdr:nvSpPr>
        <xdr:cNvPr id="37" name="TextBox 36">
          <a:extLst>
            <a:ext uri="{FF2B5EF4-FFF2-40B4-BE49-F238E27FC236}">
              <a16:creationId xmlns:a16="http://schemas.microsoft.com/office/drawing/2014/main" id="{72065340-A5E0-4CB6-9F86-8BF45EA84386}"/>
            </a:ext>
          </a:extLst>
        </xdr:cNvPr>
        <xdr:cNvSpPr txBox="1"/>
      </xdr:nvSpPr>
      <xdr:spPr>
        <a:xfrm>
          <a:off x="12083473" y="7625989"/>
          <a:ext cx="1163782" cy="272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Developers </a:t>
          </a:r>
          <a:endParaRPr lang="en-IN" sz="1100">
            <a:solidFill>
              <a:schemeClr val="bg1"/>
            </a:solidFill>
          </a:endParaRPr>
        </a:p>
      </xdr:txBody>
    </xdr:sp>
    <xdr:clientData/>
  </xdr:twoCellAnchor>
  <xdr:twoCellAnchor>
    <xdr:from>
      <xdr:col>17</xdr:col>
      <xdr:colOff>414218</xdr:colOff>
      <xdr:row>46</xdr:row>
      <xdr:rowOff>22837</xdr:rowOff>
    </xdr:from>
    <xdr:to>
      <xdr:col>19</xdr:col>
      <xdr:colOff>300038</xdr:colOff>
      <xdr:row>47</xdr:row>
      <xdr:rowOff>114970</xdr:rowOff>
    </xdr:to>
    <xdr:sp macro="" textlink="">
      <xdr:nvSpPr>
        <xdr:cNvPr id="38" name="TextBox 37">
          <a:extLst>
            <a:ext uri="{FF2B5EF4-FFF2-40B4-BE49-F238E27FC236}">
              <a16:creationId xmlns:a16="http://schemas.microsoft.com/office/drawing/2014/main" id="{28181773-E902-4CF1-9090-52429DF89E12}"/>
            </a:ext>
          </a:extLst>
        </xdr:cNvPr>
        <xdr:cNvSpPr txBox="1"/>
      </xdr:nvSpPr>
      <xdr:spPr>
        <a:xfrm>
          <a:off x="12080701" y="7879320"/>
          <a:ext cx="1094509" cy="26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Designers</a:t>
          </a:r>
        </a:p>
        <a:p>
          <a:endParaRPr lang="en-IN" sz="1100">
            <a:solidFill>
              <a:schemeClr val="bg1"/>
            </a:solidFill>
          </a:endParaRPr>
        </a:p>
      </xdr:txBody>
    </xdr:sp>
    <xdr:clientData/>
  </xdr:twoCellAnchor>
  <xdr:twoCellAnchor>
    <xdr:from>
      <xdr:col>19</xdr:col>
      <xdr:colOff>563246</xdr:colOff>
      <xdr:row>44</xdr:row>
      <xdr:rowOff>69271</xdr:rowOff>
    </xdr:from>
    <xdr:to>
      <xdr:col>21</xdr:col>
      <xdr:colOff>378612</xdr:colOff>
      <xdr:row>46</xdr:row>
      <xdr:rowOff>-1</xdr:rowOff>
    </xdr:to>
    <xdr:sp macro="" textlink="">
      <xdr:nvSpPr>
        <xdr:cNvPr id="39" name="TextBox 38">
          <a:extLst>
            <a:ext uri="{FF2B5EF4-FFF2-40B4-BE49-F238E27FC236}">
              <a16:creationId xmlns:a16="http://schemas.microsoft.com/office/drawing/2014/main" id="{D74A2DF1-2FFB-47D5-ACA2-033186067045}"/>
            </a:ext>
          </a:extLst>
        </xdr:cNvPr>
        <xdr:cNvSpPr txBox="1"/>
      </xdr:nvSpPr>
      <xdr:spPr>
        <a:xfrm>
          <a:off x="13438418" y="7584168"/>
          <a:ext cx="1024056" cy="27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endParaRPr lang="en-IN" sz="1100">
            <a:solidFill>
              <a:schemeClr val="bg1"/>
            </a:solidFill>
          </a:endParaRPr>
        </a:p>
      </xdr:txBody>
    </xdr:sp>
    <xdr:clientData/>
  </xdr:twoCellAnchor>
  <xdr:twoCellAnchor>
    <xdr:from>
      <xdr:col>17</xdr:col>
      <xdr:colOff>424905</xdr:colOff>
      <xdr:row>47</xdr:row>
      <xdr:rowOff>76199</xdr:rowOff>
    </xdr:from>
    <xdr:to>
      <xdr:col>19</xdr:col>
      <xdr:colOff>255307</xdr:colOff>
      <xdr:row>48</xdr:row>
      <xdr:rowOff>144780</xdr:rowOff>
    </xdr:to>
    <xdr:sp macro="" textlink="">
      <xdr:nvSpPr>
        <xdr:cNvPr id="40" name="TextBox 39">
          <a:extLst>
            <a:ext uri="{FF2B5EF4-FFF2-40B4-BE49-F238E27FC236}">
              <a16:creationId xmlns:a16="http://schemas.microsoft.com/office/drawing/2014/main" id="{0207D3AB-B862-4CAE-BE06-7D5D5455B540}"/>
            </a:ext>
          </a:extLst>
        </xdr:cNvPr>
        <xdr:cNvSpPr txBox="1"/>
      </xdr:nvSpPr>
      <xdr:spPr>
        <a:xfrm>
          <a:off x="12091388" y="8103475"/>
          <a:ext cx="1039091" cy="239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Analysts</a:t>
          </a:r>
          <a:endParaRPr lang="en-IN" sz="1100">
            <a:solidFill>
              <a:schemeClr val="bg1"/>
            </a:solidFill>
          </a:endParaRPr>
        </a:p>
        <a:p>
          <a:endParaRPr lang="en-IN" sz="1100">
            <a:solidFill>
              <a:schemeClr val="bg1"/>
            </a:solidFill>
          </a:endParaRPr>
        </a:p>
      </xdr:txBody>
    </xdr:sp>
    <xdr:clientData/>
  </xdr:twoCellAnchor>
  <xdr:twoCellAnchor>
    <xdr:from>
      <xdr:col>20</xdr:col>
      <xdr:colOff>376903</xdr:colOff>
      <xdr:row>40</xdr:row>
      <xdr:rowOff>132852</xdr:rowOff>
    </xdr:from>
    <xdr:to>
      <xdr:col>22</xdr:col>
      <xdr:colOff>9234</xdr:colOff>
      <xdr:row>42</xdr:row>
      <xdr:rowOff>6100</xdr:rowOff>
    </xdr:to>
    <xdr:sp macro="" textlink="PivotTables!G19">
      <xdr:nvSpPr>
        <xdr:cNvPr id="41" name="TextBox 40">
          <a:extLst>
            <a:ext uri="{FF2B5EF4-FFF2-40B4-BE49-F238E27FC236}">
              <a16:creationId xmlns:a16="http://schemas.microsoft.com/office/drawing/2014/main" id="{75FF1D2B-9A64-48D4-BF0F-1653C6F3269A}"/>
            </a:ext>
          </a:extLst>
        </xdr:cNvPr>
        <xdr:cNvSpPr txBox="1"/>
      </xdr:nvSpPr>
      <xdr:spPr>
        <a:xfrm>
          <a:off x="13856420" y="6964576"/>
          <a:ext cx="841021" cy="214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662B29-13A1-4571-BA75-94A1DB4DE798}" type="TxLink">
            <a:rPr lang="en-US" sz="1100">
              <a:solidFill>
                <a:schemeClr val="bg1"/>
              </a:solidFill>
              <a:latin typeface="+mn-lt"/>
              <a:ea typeface="+mn-ea"/>
              <a:cs typeface="+mn-cs"/>
            </a:rPr>
            <a:pPr marL="0" indent="0" algn="r"/>
            <a:t> 31,04,913 </a:t>
          </a:fld>
          <a:endParaRPr lang="en-IN" sz="1100">
            <a:solidFill>
              <a:schemeClr val="bg1"/>
            </a:solidFill>
            <a:latin typeface="+mn-lt"/>
            <a:ea typeface="+mn-ea"/>
            <a:cs typeface="+mn-cs"/>
          </a:endParaRPr>
        </a:p>
      </xdr:txBody>
    </xdr:sp>
    <xdr:clientData/>
  </xdr:twoCellAnchor>
  <xdr:twoCellAnchor>
    <xdr:from>
      <xdr:col>20</xdr:col>
      <xdr:colOff>457112</xdr:colOff>
      <xdr:row>42</xdr:row>
      <xdr:rowOff>24319</xdr:rowOff>
    </xdr:from>
    <xdr:to>
      <xdr:col>21</xdr:col>
      <xdr:colOff>592090</xdr:colOff>
      <xdr:row>43</xdr:row>
      <xdr:rowOff>80710</xdr:rowOff>
    </xdr:to>
    <xdr:sp macro="" textlink="PivotTables!G18">
      <xdr:nvSpPr>
        <xdr:cNvPr id="42" name="TextBox 41">
          <a:extLst>
            <a:ext uri="{FF2B5EF4-FFF2-40B4-BE49-F238E27FC236}">
              <a16:creationId xmlns:a16="http://schemas.microsoft.com/office/drawing/2014/main" id="{B2F00192-B080-4A84-86F2-FD2CE5A21783}"/>
            </a:ext>
          </a:extLst>
        </xdr:cNvPr>
        <xdr:cNvSpPr txBox="1"/>
      </xdr:nvSpPr>
      <xdr:spPr>
        <a:xfrm>
          <a:off x="13936629" y="7197629"/>
          <a:ext cx="739323" cy="227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964E3-1C4F-4858-859C-98CEC3808189}" type="TxLink">
            <a:rPr lang="en-US" sz="1100">
              <a:solidFill>
                <a:schemeClr val="bg1"/>
              </a:solidFill>
              <a:latin typeface="+mn-lt"/>
              <a:ea typeface="+mn-ea"/>
              <a:cs typeface="+mn-cs"/>
            </a:rPr>
            <a:pPr marL="0" indent="0" algn="r"/>
            <a:t> 7,31,170 </a:t>
          </a:fld>
          <a:endParaRPr lang="en-IN" sz="1100">
            <a:solidFill>
              <a:schemeClr val="bg1"/>
            </a:solidFill>
            <a:latin typeface="+mn-lt"/>
            <a:ea typeface="+mn-ea"/>
            <a:cs typeface="+mn-cs"/>
          </a:endParaRPr>
        </a:p>
      </xdr:txBody>
    </xdr:sp>
    <xdr:clientData/>
  </xdr:twoCellAnchor>
  <xdr:twoCellAnchor>
    <xdr:from>
      <xdr:col>20</xdr:col>
      <xdr:colOff>393529</xdr:colOff>
      <xdr:row>43</xdr:row>
      <xdr:rowOff>106680</xdr:rowOff>
    </xdr:from>
    <xdr:to>
      <xdr:col>21</xdr:col>
      <xdr:colOff>601788</xdr:colOff>
      <xdr:row>45</xdr:row>
      <xdr:rowOff>7619</xdr:rowOff>
    </xdr:to>
    <xdr:sp macro="" textlink="PivotTables!G17">
      <xdr:nvSpPr>
        <xdr:cNvPr id="43" name="TextBox 42">
          <a:extLst>
            <a:ext uri="{FF2B5EF4-FFF2-40B4-BE49-F238E27FC236}">
              <a16:creationId xmlns:a16="http://schemas.microsoft.com/office/drawing/2014/main" id="{3BFE017C-DC78-4F7E-9DE4-EA7724F17708}"/>
            </a:ext>
          </a:extLst>
        </xdr:cNvPr>
        <xdr:cNvSpPr txBox="1"/>
      </xdr:nvSpPr>
      <xdr:spPr>
        <a:xfrm>
          <a:off x="13873046" y="7450783"/>
          <a:ext cx="812604" cy="242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7991170-AB50-4FA6-8C85-43D9DD014F9C}" type="TxLink">
            <a:rPr lang="en-US" sz="1100">
              <a:solidFill>
                <a:schemeClr val="bg1"/>
              </a:solidFill>
              <a:latin typeface="+mn-lt"/>
              <a:ea typeface="+mn-ea"/>
              <a:cs typeface="+mn-cs"/>
            </a:rPr>
            <a:pPr marL="0" indent="0" algn="r"/>
            <a:t> 9,59,266 </a:t>
          </a:fld>
          <a:endParaRPr lang="en-IN" sz="1100">
            <a:solidFill>
              <a:schemeClr val="bg1"/>
            </a:solidFill>
            <a:latin typeface="+mn-lt"/>
            <a:ea typeface="+mn-ea"/>
            <a:cs typeface="+mn-cs"/>
          </a:endParaRPr>
        </a:p>
      </xdr:txBody>
    </xdr:sp>
    <xdr:clientData/>
  </xdr:twoCellAnchor>
  <xdr:twoCellAnchor>
    <xdr:from>
      <xdr:col>20</xdr:col>
      <xdr:colOff>442527</xdr:colOff>
      <xdr:row>44</xdr:row>
      <xdr:rowOff>144779</xdr:rowOff>
    </xdr:from>
    <xdr:to>
      <xdr:col>21</xdr:col>
      <xdr:colOff>567034</xdr:colOff>
      <xdr:row>46</xdr:row>
      <xdr:rowOff>37823</xdr:rowOff>
    </xdr:to>
    <xdr:sp macro="" textlink="PivotTables!G16">
      <xdr:nvSpPr>
        <xdr:cNvPr id="44" name="TextBox 43">
          <a:extLst>
            <a:ext uri="{FF2B5EF4-FFF2-40B4-BE49-F238E27FC236}">
              <a16:creationId xmlns:a16="http://schemas.microsoft.com/office/drawing/2014/main" id="{9479FA64-8883-4E04-B884-7F1B8FB3AF5D}"/>
            </a:ext>
          </a:extLst>
        </xdr:cNvPr>
        <xdr:cNvSpPr txBox="1"/>
      </xdr:nvSpPr>
      <xdr:spPr>
        <a:xfrm>
          <a:off x="13922044" y="7659676"/>
          <a:ext cx="728852" cy="23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9406A4D-0C04-4972-AFCD-E722CD187E82}" type="TxLink">
            <a:rPr lang="en-US" sz="1100">
              <a:solidFill>
                <a:schemeClr val="bg1"/>
              </a:solidFill>
              <a:latin typeface="+mn-lt"/>
              <a:ea typeface="+mn-ea"/>
              <a:cs typeface="+mn-cs"/>
            </a:rPr>
            <a:pPr marL="0" indent="0" algn="r"/>
            <a:t> 6,33,594 </a:t>
          </a:fld>
          <a:endParaRPr lang="en-IN" sz="1100">
            <a:solidFill>
              <a:schemeClr val="bg1"/>
            </a:solidFill>
            <a:latin typeface="+mn-lt"/>
            <a:ea typeface="+mn-ea"/>
            <a:cs typeface="+mn-cs"/>
          </a:endParaRPr>
        </a:p>
      </xdr:txBody>
    </xdr:sp>
    <xdr:clientData/>
  </xdr:twoCellAnchor>
  <xdr:twoCellAnchor>
    <xdr:from>
      <xdr:col>20</xdr:col>
      <xdr:colOff>361294</xdr:colOff>
      <xdr:row>46</xdr:row>
      <xdr:rowOff>30479</xdr:rowOff>
    </xdr:from>
    <xdr:to>
      <xdr:col>21</xdr:col>
      <xdr:colOff>542469</xdr:colOff>
      <xdr:row>47</xdr:row>
      <xdr:rowOff>110975</xdr:rowOff>
    </xdr:to>
    <xdr:sp macro="" textlink="PivotTables!G15">
      <xdr:nvSpPr>
        <xdr:cNvPr id="45" name="TextBox 44">
          <a:extLst>
            <a:ext uri="{FF2B5EF4-FFF2-40B4-BE49-F238E27FC236}">
              <a16:creationId xmlns:a16="http://schemas.microsoft.com/office/drawing/2014/main" id="{160CDD27-C259-4DB2-922B-AF824C77C74A}"/>
            </a:ext>
          </a:extLst>
        </xdr:cNvPr>
        <xdr:cNvSpPr txBox="1"/>
      </xdr:nvSpPr>
      <xdr:spPr>
        <a:xfrm>
          <a:off x="13840811" y="7886962"/>
          <a:ext cx="785520" cy="251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FAD3A47-DD73-47BC-A9BF-91AF4A9B6C6B}" type="TxLink">
            <a:rPr lang="en-US" sz="1100">
              <a:solidFill>
                <a:schemeClr val="bg1"/>
              </a:solidFill>
              <a:latin typeface="+mn-lt"/>
              <a:ea typeface="+mn-ea"/>
              <a:cs typeface="+mn-cs"/>
            </a:rPr>
            <a:pPr marL="0" indent="0" algn="r"/>
            <a:t> 6,13,842 </a:t>
          </a:fld>
          <a:endParaRPr lang="en-IN" sz="1100">
            <a:solidFill>
              <a:schemeClr val="bg1"/>
            </a:solidFill>
            <a:latin typeface="+mn-lt"/>
            <a:ea typeface="+mn-ea"/>
            <a:cs typeface="+mn-cs"/>
          </a:endParaRPr>
        </a:p>
      </xdr:txBody>
    </xdr:sp>
    <xdr:clientData/>
  </xdr:twoCellAnchor>
  <xdr:twoCellAnchor>
    <xdr:from>
      <xdr:col>20</xdr:col>
      <xdr:colOff>199425</xdr:colOff>
      <xdr:row>47</xdr:row>
      <xdr:rowOff>143773</xdr:rowOff>
    </xdr:from>
    <xdr:to>
      <xdr:col>21</xdr:col>
      <xdr:colOff>587515</xdr:colOff>
      <xdr:row>48</xdr:row>
      <xdr:rowOff>158151</xdr:rowOff>
    </xdr:to>
    <xdr:sp macro="" textlink="PivotTables!G14">
      <xdr:nvSpPr>
        <xdr:cNvPr id="46" name="TextBox 45">
          <a:extLst>
            <a:ext uri="{FF2B5EF4-FFF2-40B4-BE49-F238E27FC236}">
              <a16:creationId xmlns:a16="http://schemas.microsoft.com/office/drawing/2014/main" id="{9ACD5B4B-F223-4A6A-9916-3D7A15BCCF8C}"/>
            </a:ext>
          </a:extLst>
        </xdr:cNvPr>
        <xdr:cNvSpPr txBox="1"/>
      </xdr:nvSpPr>
      <xdr:spPr>
        <a:xfrm>
          <a:off x="13678942" y="8171049"/>
          <a:ext cx="992435" cy="185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F3A2753-088B-41A9-B717-60DC127BA1CD}" type="TxLink">
            <a:rPr lang="en-US" sz="1100">
              <a:solidFill>
                <a:schemeClr val="bg1"/>
              </a:solidFill>
              <a:latin typeface="+mn-lt"/>
              <a:ea typeface="+mn-ea"/>
              <a:cs typeface="+mn-cs"/>
            </a:rPr>
            <a:pPr marL="0" indent="0" algn="r"/>
            <a:t> 1,67,041 </a:t>
          </a:fld>
          <a:endParaRPr lang="en-IN" sz="1100">
            <a:solidFill>
              <a:schemeClr val="bg1"/>
            </a:solidFill>
            <a:latin typeface="+mn-lt"/>
            <a:ea typeface="+mn-ea"/>
            <a:cs typeface="+mn-cs"/>
          </a:endParaRPr>
        </a:p>
      </xdr:txBody>
    </xdr:sp>
    <xdr:clientData/>
  </xdr:twoCellAnchor>
  <xdr:twoCellAnchor>
    <xdr:from>
      <xdr:col>20</xdr:col>
      <xdr:colOff>264578</xdr:colOff>
      <xdr:row>40</xdr:row>
      <xdr:rowOff>93784</xdr:rowOff>
    </xdr:from>
    <xdr:to>
      <xdr:col>22</xdr:col>
      <xdr:colOff>9234</xdr:colOff>
      <xdr:row>42</xdr:row>
      <xdr:rowOff>647</xdr:rowOff>
    </xdr:to>
    <xdr:sp macro="" textlink="PivotTables!G19">
      <xdr:nvSpPr>
        <xdr:cNvPr id="2063" name="TextBox 2062">
          <a:extLst>
            <a:ext uri="{FF2B5EF4-FFF2-40B4-BE49-F238E27FC236}">
              <a16:creationId xmlns:a16="http://schemas.microsoft.com/office/drawing/2014/main" id="{32904669-9A38-9193-BBD2-FED338E4A161}"/>
            </a:ext>
          </a:extLst>
        </xdr:cNvPr>
        <xdr:cNvSpPr txBox="1"/>
      </xdr:nvSpPr>
      <xdr:spPr>
        <a:xfrm>
          <a:off x="13744095" y="6925508"/>
          <a:ext cx="953346" cy="248449"/>
        </a:xfrm>
        <a:prstGeom prst="rect">
          <a:avLst/>
        </a:prstGeom>
        <a:solidFill>
          <a:srgbClr val="E5B24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662B29-13A1-4571-BA75-94A1DB4DE798}" type="TxLink">
            <a:rPr lang="en-US" sz="1100" b="1">
              <a:solidFill>
                <a:srgbClr val="1F1F1F"/>
              </a:solidFill>
              <a:latin typeface="+mn-lt"/>
              <a:ea typeface="+mn-ea"/>
              <a:cs typeface="+mn-cs"/>
            </a:rPr>
            <a:pPr marL="0" indent="0" algn="r"/>
            <a:t> 31,04,913 </a:t>
          </a:fld>
          <a:endParaRPr lang="en-IN" sz="1100" b="1">
            <a:solidFill>
              <a:srgbClr val="1F1F1F"/>
            </a:solidFill>
            <a:latin typeface="+mn-lt"/>
            <a:ea typeface="+mn-ea"/>
            <a:cs typeface="+mn-cs"/>
          </a:endParaRPr>
        </a:p>
      </xdr:txBody>
    </xdr:sp>
    <xdr:clientData/>
  </xdr:twoCellAnchor>
  <xdr:twoCellAnchor>
    <xdr:from>
      <xdr:col>20</xdr:col>
      <xdr:colOff>173467</xdr:colOff>
      <xdr:row>42</xdr:row>
      <xdr:rowOff>24892</xdr:rowOff>
    </xdr:from>
    <xdr:to>
      <xdr:col>21</xdr:col>
      <xdr:colOff>592090</xdr:colOff>
      <xdr:row>43</xdr:row>
      <xdr:rowOff>73523</xdr:rowOff>
    </xdr:to>
    <xdr:sp macro="" textlink="PivotTables!G18">
      <xdr:nvSpPr>
        <xdr:cNvPr id="2064" name="TextBox 2063">
          <a:extLst>
            <a:ext uri="{FF2B5EF4-FFF2-40B4-BE49-F238E27FC236}">
              <a16:creationId xmlns:a16="http://schemas.microsoft.com/office/drawing/2014/main" id="{136003E4-7EF9-AB8A-E834-11A8E824F1E8}"/>
            </a:ext>
          </a:extLst>
        </xdr:cNvPr>
        <xdr:cNvSpPr txBox="1"/>
      </xdr:nvSpPr>
      <xdr:spPr>
        <a:xfrm>
          <a:off x="13652984" y="7198202"/>
          <a:ext cx="1022968" cy="219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964E3-1C4F-4858-859C-98CEC3808189}" type="TxLink">
            <a:rPr lang="en-US" sz="1100">
              <a:solidFill>
                <a:schemeClr val="bg1"/>
              </a:solidFill>
              <a:latin typeface="+mn-lt"/>
              <a:ea typeface="+mn-ea"/>
              <a:cs typeface="+mn-cs"/>
            </a:rPr>
            <a:pPr marL="0" indent="0" algn="r"/>
            <a:t> 7,31,170 </a:t>
          </a:fld>
          <a:endParaRPr lang="en-IN" sz="1100">
            <a:solidFill>
              <a:schemeClr val="bg1"/>
            </a:solidFill>
            <a:latin typeface="+mn-lt"/>
            <a:ea typeface="+mn-ea"/>
            <a:cs typeface="+mn-cs"/>
          </a:endParaRPr>
        </a:p>
      </xdr:txBody>
    </xdr:sp>
    <xdr:clientData/>
  </xdr:twoCellAnchor>
  <xdr:twoCellAnchor>
    <xdr:from>
      <xdr:col>20</xdr:col>
      <xdr:colOff>84035</xdr:colOff>
      <xdr:row>43</xdr:row>
      <xdr:rowOff>129396</xdr:rowOff>
    </xdr:from>
    <xdr:to>
      <xdr:col>21</xdr:col>
      <xdr:colOff>594926</xdr:colOff>
      <xdr:row>45</xdr:row>
      <xdr:rowOff>430</xdr:rowOff>
    </xdr:to>
    <xdr:sp macro="" textlink="PivotTables!G17">
      <xdr:nvSpPr>
        <xdr:cNvPr id="2065" name="TextBox 2064">
          <a:extLst>
            <a:ext uri="{FF2B5EF4-FFF2-40B4-BE49-F238E27FC236}">
              <a16:creationId xmlns:a16="http://schemas.microsoft.com/office/drawing/2014/main" id="{CBC414E8-57AE-D9E5-2BC3-5C1B28CB81A5}"/>
            </a:ext>
          </a:extLst>
        </xdr:cNvPr>
        <xdr:cNvSpPr txBox="1"/>
      </xdr:nvSpPr>
      <xdr:spPr>
        <a:xfrm>
          <a:off x="13563552" y="7473499"/>
          <a:ext cx="1115236" cy="212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7991170-AB50-4FA6-8C85-43D9DD014F9C}" type="TxLink">
            <a:rPr lang="en-US" sz="1100">
              <a:solidFill>
                <a:schemeClr val="bg1"/>
              </a:solidFill>
              <a:latin typeface="+mn-lt"/>
              <a:ea typeface="+mn-ea"/>
              <a:cs typeface="+mn-cs"/>
            </a:rPr>
            <a:pPr marL="0" indent="0" algn="r"/>
            <a:t> 9,59,266 </a:t>
          </a:fld>
          <a:endParaRPr lang="en-IN" sz="1100">
            <a:solidFill>
              <a:schemeClr val="bg1"/>
            </a:solidFill>
            <a:latin typeface="+mn-lt"/>
            <a:ea typeface="+mn-ea"/>
            <a:cs typeface="+mn-cs"/>
          </a:endParaRPr>
        </a:p>
      </xdr:txBody>
    </xdr:sp>
    <xdr:clientData/>
  </xdr:twoCellAnchor>
  <xdr:twoCellAnchor>
    <xdr:from>
      <xdr:col>20</xdr:col>
      <xdr:colOff>162959</xdr:colOff>
      <xdr:row>44</xdr:row>
      <xdr:rowOff>165339</xdr:rowOff>
    </xdr:from>
    <xdr:to>
      <xdr:col>21</xdr:col>
      <xdr:colOff>566171</xdr:colOff>
      <xdr:row>46</xdr:row>
      <xdr:rowOff>30634</xdr:rowOff>
    </xdr:to>
    <xdr:sp macro="" textlink="PivotTables!G16">
      <xdr:nvSpPr>
        <xdr:cNvPr id="2066" name="TextBox 2065">
          <a:extLst>
            <a:ext uri="{FF2B5EF4-FFF2-40B4-BE49-F238E27FC236}">
              <a16:creationId xmlns:a16="http://schemas.microsoft.com/office/drawing/2014/main" id="{C97CD76D-31C3-B86C-7BB3-9D1033E6AA64}"/>
            </a:ext>
          </a:extLst>
        </xdr:cNvPr>
        <xdr:cNvSpPr txBox="1"/>
      </xdr:nvSpPr>
      <xdr:spPr>
        <a:xfrm>
          <a:off x="13642476" y="7680236"/>
          <a:ext cx="1007557" cy="206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9406A4D-0C04-4972-AFCD-E722CD187E82}" type="TxLink">
            <a:rPr lang="en-US" sz="1100">
              <a:solidFill>
                <a:schemeClr val="bg1"/>
              </a:solidFill>
              <a:latin typeface="+mn-lt"/>
              <a:ea typeface="+mn-ea"/>
              <a:cs typeface="+mn-cs"/>
            </a:rPr>
            <a:pPr marL="0" indent="0" algn="r"/>
            <a:t> 6,33,594 </a:t>
          </a:fld>
          <a:endParaRPr lang="en-IN" sz="1100">
            <a:solidFill>
              <a:schemeClr val="bg1"/>
            </a:solidFill>
            <a:latin typeface="+mn-lt"/>
            <a:ea typeface="+mn-ea"/>
            <a:cs typeface="+mn-cs"/>
          </a:endParaRPr>
        </a:p>
      </xdr:txBody>
    </xdr:sp>
    <xdr:clientData/>
  </xdr:twoCellAnchor>
  <xdr:twoCellAnchor>
    <xdr:from>
      <xdr:col>20</xdr:col>
      <xdr:colOff>206737</xdr:colOff>
      <xdr:row>46</xdr:row>
      <xdr:rowOff>35858</xdr:rowOff>
    </xdr:from>
    <xdr:to>
      <xdr:col>21</xdr:col>
      <xdr:colOff>547312</xdr:colOff>
      <xdr:row>47</xdr:row>
      <xdr:rowOff>115018</xdr:rowOff>
    </xdr:to>
    <xdr:sp macro="" textlink="PivotTables!G15">
      <xdr:nvSpPr>
        <xdr:cNvPr id="2067" name="TextBox 2066">
          <a:extLst>
            <a:ext uri="{FF2B5EF4-FFF2-40B4-BE49-F238E27FC236}">
              <a16:creationId xmlns:a16="http://schemas.microsoft.com/office/drawing/2014/main" id="{E015334F-B662-CA4D-DD5E-2022648491B8}"/>
            </a:ext>
          </a:extLst>
        </xdr:cNvPr>
        <xdr:cNvSpPr txBox="1"/>
      </xdr:nvSpPr>
      <xdr:spPr>
        <a:xfrm>
          <a:off x="13686254" y="7892341"/>
          <a:ext cx="944920" cy="249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FAD3A47-DD73-47BC-A9BF-91AF4A9B6C6B}" type="TxLink">
            <a:rPr lang="en-US" sz="1100">
              <a:solidFill>
                <a:schemeClr val="bg1"/>
              </a:solidFill>
              <a:latin typeface="+mn-lt"/>
              <a:ea typeface="+mn-ea"/>
              <a:cs typeface="+mn-cs"/>
            </a:rPr>
            <a:pPr marL="0" indent="0" algn="r"/>
            <a:t> 6,13,842 </a:t>
          </a:fld>
          <a:endParaRPr lang="en-IN" sz="1100">
            <a:solidFill>
              <a:schemeClr val="bg1"/>
            </a:solidFill>
            <a:latin typeface="+mn-lt"/>
            <a:ea typeface="+mn-ea"/>
            <a:cs typeface="+mn-cs"/>
          </a:endParaRPr>
        </a:p>
      </xdr:txBody>
    </xdr:sp>
    <xdr:clientData/>
  </xdr:twoCellAnchor>
  <xdr:twoCellAnchor>
    <xdr:from>
      <xdr:col>18</xdr:col>
      <xdr:colOff>28034</xdr:colOff>
      <xdr:row>36</xdr:row>
      <xdr:rowOff>70563</xdr:rowOff>
    </xdr:from>
    <xdr:to>
      <xdr:col>19</xdr:col>
      <xdr:colOff>549105</xdr:colOff>
      <xdr:row>38</xdr:row>
      <xdr:rowOff>3072</xdr:rowOff>
    </xdr:to>
    <xdr:sp macro="" textlink="">
      <xdr:nvSpPr>
        <xdr:cNvPr id="2073" name="TextBox 2072">
          <a:extLst>
            <a:ext uri="{FF2B5EF4-FFF2-40B4-BE49-F238E27FC236}">
              <a16:creationId xmlns:a16="http://schemas.microsoft.com/office/drawing/2014/main" id="{9351BE18-CA87-4ACA-AC7C-5C7D237A85C5}"/>
            </a:ext>
          </a:extLst>
        </xdr:cNvPr>
        <xdr:cNvSpPr txBox="1"/>
      </xdr:nvSpPr>
      <xdr:spPr>
        <a:xfrm>
          <a:off x="12298862" y="6219115"/>
          <a:ext cx="1125415" cy="274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5B244"/>
              </a:solidFill>
              <a:latin typeface="+mn-lt"/>
              <a:ea typeface="+mn-ea"/>
              <a:cs typeface="+mn-cs"/>
            </a:rPr>
            <a:t>Salaries </a:t>
          </a:r>
          <a:endParaRPr lang="en-IN" sz="1400" b="1">
            <a:solidFill>
              <a:srgbClr val="E5B244"/>
            </a:solidFill>
            <a:latin typeface="+mn-lt"/>
            <a:ea typeface="+mn-ea"/>
            <a:cs typeface="+mn-cs"/>
          </a:endParaRPr>
        </a:p>
      </xdr:txBody>
    </xdr:sp>
    <xdr:clientData/>
  </xdr:twoCellAnchor>
  <xdr:twoCellAnchor>
    <xdr:from>
      <xdr:col>17</xdr:col>
      <xdr:colOff>366977</xdr:colOff>
      <xdr:row>37</xdr:row>
      <xdr:rowOff>160019</xdr:rowOff>
    </xdr:from>
    <xdr:to>
      <xdr:col>20</xdr:col>
      <xdr:colOff>536554</xdr:colOff>
      <xdr:row>39</xdr:row>
      <xdr:rowOff>14068</xdr:rowOff>
    </xdr:to>
    <xdr:sp macro="" textlink="">
      <xdr:nvSpPr>
        <xdr:cNvPr id="2074" name="TextBox 2073">
          <a:extLst>
            <a:ext uri="{FF2B5EF4-FFF2-40B4-BE49-F238E27FC236}">
              <a16:creationId xmlns:a16="http://schemas.microsoft.com/office/drawing/2014/main" id="{FEDF9087-0BB0-436B-BAE8-40A65D50B6D5}"/>
            </a:ext>
          </a:extLst>
        </xdr:cNvPr>
        <xdr:cNvSpPr txBox="1"/>
      </xdr:nvSpPr>
      <xdr:spPr>
        <a:xfrm>
          <a:off x="12033460" y="6479364"/>
          <a:ext cx="1982611" cy="19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bg2">
                  <a:lumMod val="90000"/>
                </a:schemeClr>
              </a:solidFill>
              <a:latin typeface="Dubai" panose="020B0503030403030204" pitchFamily="34" charset="-78"/>
              <a:ea typeface="+mn-ea"/>
              <a:cs typeface="Dubai" panose="020B0503030403030204" pitchFamily="34" charset="-78"/>
            </a:rPr>
            <a:t>Salary</a:t>
          </a:r>
          <a:r>
            <a:rPr lang="en-IN" sz="900" b="1" baseline="0">
              <a:solidFill>
                <a:schemeClr val="bg2">
                  <a:lumMod val="90000"/>
                </a:schemeClr>
              </a:solidFill>
              <a:latin typeface="Dubai" panose="020B0503030403030204" pitchFamily="34" charset="-78"/>
              <a:ea typeface="+mn-ea"/>
              <a:cs typeface="Dubai" panose="020B0503030403030204" pitchFamily="34" charset="-78"/>
            </a:rPr>
            <a:t> amount by Jib titles</a:t>
          </a:r>
          <a:endParaRPr lang="en-IN" sz="900" b="1">
            <a:solidFill>
              <a:schemeClr val="bg2">
                <a:lumMod val="90000"/>
              </a:schemeClr>
            </a:solidFill>
            <a:latin typeface="Dubai" panose="020B0503030403030204" pitchFamily="34" charset="-78"/>
            <a:ea typeface="+mn-ea"/>
            <a:cs typeface="Dubai" panose="020B0503030403030204" pitchFamily="34" charset="-78"/>
          </a:endParaRPr>
        </a:p>
      </xdr:txBody>
    </xdr:sp>
    <xdr:clientData/>
  </xdr:twoCellAnchor>
  <xdr:twoCellAnchor>
    <xdr:from>
      <xdr:col>23</xdr:col>
      <xdr:colOff>90689</xdr:colOff>
      <xdr:row>33</xdr:row>
      <xdr:rowOff>12794</xdr:rowOff>
    </xdr:from>
    <xdr:to>
      <xdr:col>28</xdr:col>
      <xdr:colOff>400042</xdr:colOff>
      <xdr:row>34</xdr:row>
      <xdr:rowOff>93072</xdr:rowOff>
    </xdr:to>
    <xdr:sp macro="" textlink="">
      <xdr:nvSpPr>
        <xdr:cNvPr id="2077" name="TextBox 2076">
          <a:extLst>
            <a:ext uri="{FF2B5EF4-FFF2-40B4-BE49-F238E27FC236}">
              <a16:creationId xmlns:a16="http://schemas.microsoft.com/office/drawing/2014/main" id="{08F10FDD-603B-4202-BF59-9DB6912940C7}"/>
            </a:ext>
          </a:extLst>
        </xdr:cNvPr>
        <xdr:cNvSpPr txBox="1"/>
      </xdr:nvSpPr>
      <xdr:spPr>
        <a:xfrm>
          <a:off x="15383241" y="5648966"/>
          <a:ext cx="2726732" cy="251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E5B244"/>
              </a:solidFill>
              <a:latin typeface="+mn-lt"/>
              <a:ea typeface="+mn-ea"/>
              <a:cs typeface="+mn-cs"/>
            </a:rPr>
            <a:t>Employments</a:t>
          </a:r>
          <a:r>
            <a:rPr lang="en-US" sz="1200" baseline="0">
              <a:solidFill>
                <a:srgbClr val="E5B244"/>
              </a:solidFill>
              <a:latin typeface="+mn-lt"/>
              <a:ea typeface="+mn-ea"/>
              <a:cs typeface="+mn-cs"/>
            </a:rPr>
            <a:t> Status BreackDown</a:t>
          </a:r>
          <a:endParaRPr lang="en-IN" sz="1200">
            <a:solidFill>
              <a:srgbClr val="E5B244"/>
            </a:solidFill>
            <a:latin typeface="+mn-lt"/>
            <a:ea typeface="+mn-ea"/>
            <a:cs typeface="+mn-cs"/>
          </a:endParaRPr>
        </a:p>
      </xdr:txBody>
    </xdr:sp>
    <xdr:clientData/>
  </xdr:twoCellAnchor>
  <xdr:twoCellAnchor>
    <xdr:from>
      <xdr:col>22</xdr:col>
      <xdr:colOff>295203</xdr:colOff>
      <xdr:row>34</xdr:row>
      <xdr:rowOff>163285</xdr:rowOff>
    </xdr:from>
    <xdr:to>
      <xdr:col>24</xdr:col>
      <xdr:colOff>603630</xdr:colOff>
      <xdr:row>41</xdr:row>
      <xdr:rowOff>127000</xdr:rowOff>
    </xdr:to>
    <xdr:graphicFrame macro="">
      <xdr:nvGraphicFramePr>
        <xdr:cNvPr id="2078" name="Chart 2077">
          <a:extLst>
            <a:ext uri="{FF2B5EF4-FFF2-40B4-BE49-F238E27FC236}">
              <a16:creationId xmlns:a16="http://schemas.microsoft.com/office/drawing/2014/main" id="{20107A54-AA03-460C-8301-F2089027B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752617</xdr:colOff>
      <xdr:row>35</xdr:row>
      <xdr:rowOff>145142</xdr:rowOff>
    </xdr:from>
    <xdr:to>
      <xdr:col>28</xdr:col>
      <xdr:colOff>1878</xdr:colOff>
      <xdr:row>37</xdr:row>
      <xdr:rowOff>90714</xdr:rowOff>
    </xdr:to>
    <xdr:sp macro="" textlink="">
      <xdr:nvSpPr>
        <xdr:cNvPr id="2081" name="Oval 2080">
          <a:extLst>
            <a:ext uri="{FF2B5EF4-FFF2-40B4-BE49-F238E27FC236}">
              <a16:creationId xmlns:a16="http://schemas.microsoft.com/office/drawing/2014/main" id="{48A4A591-E480-0F39-ABE4-3420E3AFBAC6}"/>
            </a:ext>
          </a:extLst>
        </xdr:cNvPr>
        <xdr:cNvSpPr/>
      </xdr:nvSpPr>
      <xdr:spPr>
        <a:xfrm>
          <a:off x="17385238" y="6122901"/>
          <a:ext cx="326571" cy="287158"/>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850588</xdr:colOff>
      <xdr:row>43</xdr:row>
      <xdr:rowOff>43543</xdr:rowOff>
    </xdr:from>
    <xdr:to>
      <xdr:col>28</xdr:col>
      <xdr:colOff>99849</xdr:colOff>
      <xdr:row>44</xdr:row>
      <xdr:rowOff>170542</xdr:rowOff>
    </xdr:to>
    <xdr:sp macro="" textlink="">
      <xdr:nvSpPr>
        <xdr:cNvPr id="2082" name="Oval 2081">
          <a:extLst>
            <a:ext uri="{FF2B5EF4-FFF2-40B4-BE49-F238E27FC236}">
              <a16:creationId xmlns:a16="http://schemas.microsoft.com/office/drawing/2014/main" id="{785E08FA-D7D5-42BF-96DD-EFB7BF9DB3C3}"/>
            </a:ext>
          </a:extLst>
        </xdr:cNvPr>
        <xdr:cNvSpPr/>
      </xdr:nvSpPr>
      <xdr:spPr>
        <a:xfrm>
          <a:off x="17483209" y="7387646"/>
          <a:ext cx="326571" cy="297793"/>
        </a:xfrm>
        <a:prstGeom prst="ellipse">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493735</xdr:colOff>
      <xdr:row>42</xdr:row>
      <xdr:rowOff>123371</xdr:rowOff>
    </xdr:from>
    <xdr:to>
      <xdr:col>24</xdr:col>
      <xdr:colOff>203449</xdr:colOff>
      <xdr:row>44</xdr:row>
      <xdr:rowOff>68942</xdr:rowOff>
    </xdr:to>
    <xdr:sp macro="" textlink="">
      <xdr:nvSpPr>
        <xdr:cNvPr id="2084" name="Oval 2083">
          <a:extLst>
            <a:ext uri="{FF2B5EF4-FFF2-40B4-BE49-F238E27FC236}">
              <a16:creationId xmlns:a16="http://schemas.microsoft.com/office/drawing/2014/main" id="{C55DBAC4-6962-4F08-989F-999B95A0E361}"/>
            </a:ext>
          </a:extLst>
        </xdr:cNvPr>
        <xdr:cNvSpPr/>
      </xdr:nvSpPr>
      <xdr:spPr>
        <a:xfrm>
          <a:off x="15786287" y="7296681"/>
          <a:ext cx="314059" cy="287158"/>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137000</xdr:colOff>
      <xdr:row>39</xdr:row>
      <xdr:rowOff>146808</xdr:rowOff>
    </xdr:from>
    <xdr:to>
      <xdr:col>17</xdr:col>
      <xdr:colOff>106971</xdr:colOff>
      <xdr:row>48</xdr:row>
      <xdr:rowOff>141451</xdr:rowOff>
    </xdr:to>
    <xdr:graphicFrame macro="">
      <xdr:nvGraphicFramePr>
        <xdr:cNvPr id="2085" name="Chart 2084">
          <a:extLst>
            <a:ext uri="{FF2B5EF4-FFF2-40B4-BE49-F238E27FC236}">
              <a16:creationId xmlns:a16="http://schemas.microsoft.com/office/drawing/2014/main" id="{CC19F8DD-2B90-448B-AA2B-342E656A4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523288</xdr:colOff>
      <xdr:row>36</xdr:row>
      <xdr:rowOff>35645</xdr:rowOff>
    </xdr:from>
    <xdr:to>
      <xdr:col>15</xdr:col>
      <xdr:colOff>78299</xdr:colOff>
      <xdr:row>37</xdr:row>
      <xdr:rowOff>80469</xdr:rowOff>
    </xdr:to>
    <xdr:sp macro="" textlink="">
      <xdr:nvSpPr>
        <xdr:cNvPr id="2086" name="TextBox 2085">
          <a:extLst>
            <a:ext uri="{FF2B5EF4-FFF2-40B4-BE49-F238E27FC236}">
              <a16:creationId xmlns:a16="http://schemas.microsoft.com/office/drawing/2014/main" id="{0FE66842-D5DC-453F-89D3-52273BE46BCB}"/>
            </a:ext>
          </a:extLst>
        </xdr:cNvPr>
        <xdr:cNvSpPr txBox="1"/>
      </xdr:nvSpPr>
      <xdr:spPr>
        <a:xfrm>
          <a:off x="9168047" y="6184197"/>
          <a:ext cx="1368045" cy="215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E5B244"/>
              </a:solidFill>
              <a:latin typeface="+mn-lt"/>
              <a:ea typeface="+mn-ea"/>
              <a:cs typeface="+mn-cs"/>
            </a:rPr>
            <a:t>Age</a:t>
          </a:r>
          <a:r>
            <a:rPr lang="en-US" sz="1400" b="1" baseline="0">
              <a:solidFill>
                <a:srgbClr val="E5B244"/>
              </a:solidFill>
              <a:latin typeface="+mn-lt"/>
              <a:ea typeface="+mn-ea"/>
              <a:cs typeface="+mn-cs"/>
            </a:rPr>
            <a:t> Range</a:t>
          </a:r>
          <a:endParaRPr lang="en-IN" sz="1400" b="1">
            <a:solidFill>
              <a:srgbClr val="E5B244"/>
            </a:solidFill>
            <a:latin typeface="+mn-lt"/>
            <a:ea typeface="+mn-ea"/>
            <a:cs typeface="+mn-cs"/>
          </a:endParaRPr>
        </a:p>
      </xdr:txBody>
    </xdr:sp>
    <xdr:clientData/>
  </xdr:twoCellAnchor>
  <xdr:twoCellAnchor>
    <xdr:from>
      <xdr:col>12</xdr:col>
      <xdr:colOff>143989</xdr:colOff>
      <xdr:row>37</xdr:row>
      <xdr:rowOff>104863</xdr:rowOff>
    </xdr:from>
    <xdr:to>
      <xdr:col>16</xdr:col>
      <xdr:colOff>571680</xdr:colOff>
      <xdr:row>39</xdr:row>
      <xdr:rowOff>111855</xdr:rowOff>
    </xdr:to>
    <xdr:sp macro="" textlink="">
      <xdr:nvSpPr>
        <xdr:cNvPr id="2087" name="TextBox 2086">
          <a:extLst>
            <a:ext uri="{FF2B5EF4-FFF2-40B4-BE49-F238E27FC236}">
              <a16:creationId xmlns:a16="http://schemas.microsoft.com/office/drawing/2014/main" id="{8CA9D76A-90C8-4BEF-B55D-F9065A5D7F7B}"/>
            </a:ext>
          </a:extLst>
        </xdr:cNvPr>
        <xdr:cNvSpPr txBox="1"/>
      </xdr:nvSpPr>
      <xdr:spPr>
        <a:xfrm>
          <a:off x="8788748" y="6424208"/>
          <a:ext cx="2845070" cy="34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baseline="0">
              <a:solidFill>
                <a:schemeClr val="bg2">
                  <a:lumMod val="90000"/>
                </a:schemeClr>
              </a:solidFill>
              <a:latin typeface="Dubai" panose="020B0503030403030204" pitchFamily="34" charset="-78"/>
              <a:ea typeface="+mn-ea"/>
              <a:cs typeface="Dubai" panose="020B0503030403030204" pitchFamily="34" charset="-78"/>
            </a:rPr>
            <a:t>No.of employees according to age ranges and genders</a:t>
          </a:r>
        </a:p>
      </xdr:txBody>
    </xdr:sp>
    <xdr:clientData/>
  </xdr:twoCellAnchor>
  <xdr:twoCellAnchor>
    <xdr:from>
      <xdr:col>16</xdr:col>
      <xdr:colOff>109281</xdr:colOff>
      <xdr:row>38</xdr:row>
      <xdr:rowOff>104861</xdr:rowOff>
    </xdr:from>
    <xdr:to>
      <xdr:col>17</xdr:col>
      <xdr:colOff>135116</xdr:colOff>
      <xdr:row>39</xdr:row>
      <xdr:rowOff>111852</xdr:rowOff>
    </xdr:to>
    <xdr:sp macro="" textlink="">
      <xdr:nvSpPr>
        <xdr:cNvPr id="2088" name="TextBox 2087">
          <a:extLst>
            <a:ext uri="{FF2B5EF4-FFF2-40B4-BE49-F238E27FC236}">
              <a16:creationId xmlns:a16="http://schemas.microsoft.com/office/drawing/2014/main" id="{46753254-5CB0-420E-A15F-26791020BE20}"/>
            </a:ext>
          </a:extLst>
        </xdr:cNvPr>
        <xdr:cNvSpPr txBox="1"/>
      </xdr:nvSpPr>
      <xdr:spPr>
        <a:xfrm>
          <a:off x="11171419" y="6594999"/>
          <a:ext cx="630180" cy="177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Males</a:t>
          </a:r>
          <a:endParaRPr lang="en-IN" sz="900">
            <a:solidFill>
              <a:schemeClr val="bg1"/>
            </a:solidFill>
          </a:endParaRPr>
        </a:p>
        <a:p>
          <a:endParaRPr lang="en-IN" sz="900">
            <a:solidFill>
              <a:schemeClr val="bg1"/>
            </a:solidFill>
          </a:endParaRPr>
        </a:p>
      </xdr:txBody>
    </xdr:sp>
    <xdr:clientData/>
  </xdr:twoCellAnchor>
  <xdr:twoCellAnchor>
    <xdr:from>
      <xdr:col>16</xdr:col>
      <xdr:colOff>86541</xdr:colOff>
      <xdr:row>39</xdr:row>
      <xdr:rowOff>1</xdr:rowOff>
    </xdr:from>
    <xdr:to>
      <xdr:col>16</xdr:col>
      <xdr:colOff>191404</xdr:colOff>
      <xdr:row>39</xdr:row>
      <xdr:rowOff>90881</xdr:rowOff>
    </xdr:to>
    <xdr:sp macro="" textlink="">
      <xdr:nvSpPr>
        <xdr:cNvPr id="2089" name="Oval 2088">
          <a:extLst>
            <a:ext uri="{FF2B5EF4-FFF2-40B4-BE49-F238E27FC236}">
              <a16:creationId xmlns:a16="http://schemas.microsoft.com/office/drawing/2014/main" id="{2727BC76-D1F5-493B-8BEB-0C1D765F282D}"/>
            </a:ext>
          </a:extLst>
        </xdr:cNvPr>
        <xdr:cNvSpPr/>
      </xdr:nvSpPr>
      <xdr:spPr>
        <a:xfrm>
          <a:off x="11148679" y="6660932"/>
          <a:ext cx="104863" cy="9088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499966</xdr:colOff>
      <xdr:row>38</xdr:row>
      <xdr:rowOff>90882</xdr:rowOff>
    </xdr:from>
    <xdr:to>
      <xdr:col>16</xdr:col>
      <xdr:colOff>65569</xdr:colOff>
      <xdr:row>39</xdr:row>
      <xdr:rowOff>125836</xdr:rowOff>
    </xdr:to>
    <xdr:sp macro="" textlink="">
      <xdr:nvSpPr>
        <xdr:cNvPr id="2090" name="TextBox 2089">
          <a:extLst>
            <a:ext uri="{FF2B5EF4-FFF2-40B4-BE49-F238E27FC236}">
              <a16:creationId xmlns:a16="http://schemas.microsoft.com/office/drawing/2014/main" id="{1C1D6077-2153-45EF-926A-6DBDF55967ED}"/>
            </a:ext>
          </a:extLst>
        </xdr:cNvPr>
        <xdr:cNvSpPr txBox="1"/>
      </xdr:nvSpPr>
      <xdr:spPr>
        <a:xfrm>
          <a:off x="10353414" y="6581020"/>
          <a:ext cx="774293" cy="205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Females</a:t>
          </a:r>
          <a:endParaRPr lang="en-IN" sz="900">
            <a:solidFill>
              <a:schemeClr val="bg1"/>
            </a:solidFill>
          </a:endParaRPr>
        </a:p>
        <a:p>
          <a:endParaRPr lang="en-IN" sz="900">
            <a:solidFill>
              <a:schemeClr val="bg1"/>
            </a:solidFill>
          </a:endParaRPr>
        </a:p>
      </xdr:txBody>
    </xdr:sp>
    <xdr:clientData/>
  </xdr:twoCellAnchor>
  <xdr:twoCellAnchor>
    <xdr:from>
      <xdr:col>14</xdr:col>
      <xdr:colOff>442641</xdr:colOff>
      <xdr:row>38</xdr:row>
      <xdr:rowOff>145408</xdr:rowOff>
    </xdr:from>
    <xdr:to>
      <xdr:col>14</xdr:col>
      <xdr:colOff>547504</xdr:colOff>
      <xdr:row>39</xdr:row>
      <xdr:rowOff>61518</xdr:rowOff>
    </xdr:to>
    <xdr:sp macro="" textlink="">
      <xdr:nvSpPr>
        <xdr:cNvPr id="2092" name="Oval 2091">
          <a:extLst>
            <a:ext uri="{FF2B5EF4-FFF2-40B4-BE49-F238E27FC236}">
              <a16:creationId xmlns:a16="http://schemas.microsoft.com/office/drawing/2014/main" id="{E2055747-96EA-4898-B925-AE0F810A10C2}"/>
            </a:ext>
          </a:extLst>
        </xdr:cNvPr>
        <xdr:cNvSpPr/>
      </xdr:nvSpPr>
      <xdr:spPr>
        <a:xfrm>
          <a:off x="10296089" y="6635546"/>
          <a:ext cx="104863" cy="86903"/>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173382</xdr:colOff>
      <xdr:row>47</xdr:row>
      <xdr:rowOff>9348</xdr:rowOff>
    </xdr:from>
    <xdr:to>
      <xdr:col>11</xdr:col>
      <xdr:colOff>9389</xdr:colOff>
      <xdr:row>49</xdr:row>
      <xdr:rowOff>91616</xdr:rowOff>
    </xdr:to>
    <xdr:graphicFrame macro="">
      <xdr:nvGraphicFramePr>
        <xdr:cNvPr id="2093" name="Chart 2092">
          <a:extLst>
            <a:ext uri="{FF2B5EF4-FFF2-40B4-BE49-F238E27FC236}">
              <a16:creationId xmlns:a16="http://schemas.microsoft.com/office/drawing/2014/main" id="{8135A035-BFE7-4674-8998-D360FEDEA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196473</xdr:colOff>
      <xdr:row>43</xdr:row>
      <xdr:rowOff>161020</xdr:rowOff>
    </xdr:from>
    <xdr:to>
      <xdr:col>11</xdr:col>
      <xdr:colOff>68339</xdr:colOff>
      <xdr:row>47</xdr:row>
      <xdr:rowOff>29472</xdr:rowOff>
    </xdr:to>
    <xdr:graphicFrame macro="">
      <xdr:nvGraphicFramePr>
        <xdr:cNvPr id="2094" name="Chart 2093">
          <a:extLst>
            <a:ext uri="{FF2B5EF4-FFF2-40B4-BE49-F238E27FC236}">
              <a16:creationId xmlns:a16="http://schemas.microsoft.com/office/drawing/2014/main" id="{0FF2368B-E1C7-49C7-B6D5-9593275FF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173382</xdr:colOff>
      <xdr:row>41</xdr:row>
      <xdr:rowOff>149678</xdr:rowOff>
    </xdr:from>
    <xdr:to>
      <xdr:col>11</xdr:col>
      <xdr:colOff>161790</xdr:colOff>
      <xdr:row>45</xdr:row>
      <xdr:rowOff>26894</xdr:rowOff>
    </xdr:to>
    <xdr:graphicFrame macro="">
      <xdr:nvGraphicFramePr>
        <xdr:cNvPr id="2095" name="Chart 2094">
          <a:extLst>
            <a:ext uri="{FF2B5EF4-FFF2-40B4-BE49-F238E27FC236}">
              <a16:creationId xmlns:a16="http://schemas.microsoft.com/office/drawing/2014/main" id="{10BD37C2-0F1D-4E07-8E4E-15B36AC80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259461</xdr:colOff>
      <xdr:row>40</xdr:row>
      <xdr:rowOff>160721</xdr:rowOff>
    </xdr:from>
    <xdr:to>
      <xdr:col>9</xdr:col>
      <xdr:colOff>532132</xdr:colOff>
      <xdr:row>42</xdr:row>
      <xdr:rowOff>56577</xdr:rowOff>
    </xdr:to>
    <xdr:sp macro="" textlink="">
      <xdr:nvSpPr>
        <xdr:cNvPr id="2099" name="TextBox 2098">
          <a:extLst>
            <a:ext uri="{FF2B5EF4-FFF2-40B4-BE49-F238E27FC236}">
              <a16:creationId xmlns:a16="http://schemas.microsoft.com/office/drawing/2014/main" id="{D1566206-8C9E-40AD-89FF-A72CE7AFAB18}"/>
            </a:ext>
          </a:extLst>
        </xdr:cNvPr>
        <xdr:cNvSpPr txBox="1"/>
      </xdr:nvSpPr>
      <xdr:spPr>
        <a:xfrm>
          <a:off x="6329185" y="6992445"/>
          <a:ext cx="1034671" cy="237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solidFill>
            </a:rPr>
            <a:t>Branch</a:t>
          </a:r>
          <a:r>
            <a:rPr lang="en-US" sz="1050" baseline="0">
              <a:solidFill>
                <a:schemeClr val="bg1"/>
              </a:solidFill>
            </a:rPr>
            <a:t> Office</a:t>
          </a:r>
          <a:endParaRPr lang="en-IN" sz="1050">
            <a:solidFill>
              <a:schemeClr val="bg1"/>
            </a:solidFill>
          </a:endParaRPr>
        </a:p>
      </xdr:txBody>
    </xdr:sp>
    <xdr:clientData/>
  </xdr:twoCellAnchor>
  <xdr:twoCellAnchor>
    <xdr:from>
      <xdr:col>8</xdr:col>
      <xdr:colOff>277291</xdr:colOff>
      <xdr:row>43</xdr:row>
      <xdr:rowOff>108230</xdr:rowOff>
    </xdr:from>
    <xdr:to>
      <xdr:col>10</xdr:col>
      <xdr:colOff>219245</xdr:colOff>
      <xdr:row>45</xdr:row>
      <xdr:rowOff>17604</xdr:rowOff>
    </xdr:to>
    <xdr:sp macro="" textlink="">
      <xdr:nvSpPr>
        <xdr:cNvPr id="2100" name="TextBox 2099">
          <a:extLst>
            <a:ext uri="{FF2B5EF4-FFF2-40B4-BE49-F238E27FC236}">
              <a16:creationId xmlns:a16="http://schemas.microsoft.com/office/drawing/2014/main" id="{8B0FA7E2-94B9-4BB4-90F0-ECC3A0CC8732}"/>
            </a:ext>
          </a:extLst>
        </xdr:cNvPr>
        <xdr:cNvSpPr txBox="1"/>
      </xdr:nvSpPr>
      <xdr:spPr>
        <a:xfrm>
          <a:off x="6347015" y="7452333"/>
          <a:ext cx="1308299" cy="250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bg1"/>
              </a:solidFill>
            </a:rPr>
            <a:t>Head</a:t>
          </a:r>
          <a:r>
            <a:rPr lang="en-IN" sz="1050" baseline="0">
              <a:solidFill>
                <a:schemeClr val="bg1"/>
              </a:solidFill>
            </a:rPr>
            <a:t> Office</a:t>
          </a:r>
          <a:endParaRPr lang="en-IN" sz="1050">
            <a:solidFill>
              <a:schemeClr val="bg1"/>
            </a:solidFill>
          </a:endParaRPr>
        </a:p>
      </xdr:txBody>
    </xdr:sp>
    <xdr:clientData/>
  </xdr:twoCellAnchor>
  <xdr:twoCellAnchor>
    <xdr:from>
      <xdr:col>8</xdr:col>
      <xdr:colOff>245520</xdr:colOff>
      <xdr:row>45</xdr:row>
      <xdr:rowOff>166249</xdr:rowOff>
    </xdr:from>
    <xdr:to>
      <xdr:col>10</xdr:col>
      <xdr:colOff>48929</xdr:colOff>
      <xdr:row>47</xdr:row>
      <xdr:rowOff>98817</xdr:rowOff>
    </xdr:to>
    <xdr:sp macro="" textlink="">
      <xdr:nvSpPr>
        <xdr:cNvPr id="2101" name="TextBox 2100">
          <a:extLst>
            <a:ext uri="{FF2B5EF4-FFF2-40B4-BE49-F238E27FC236}">
              <a16:creationId xmlns:a16="http://schemas.microsoft.com/office/drawing/2014/main" id="{9E6E1B97-AE7E-4FAB-B5A6-397CAFAA845A}"/>
            </a:ext>
          </a:extLst>
        </xdr:cNvPr>
        <xdr:cNvSpPr txBox="1"/>
      </xdr:nvSpPr>
      <xdr:spPr>
        <a:xfrm>
          <a:off x="6315244" y="7851939"/>
          <a:ext cx="1169754" cy="274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solidFill>
            </a:rPr>
            <a:t>Remote</a:t>
          </a:r>
          <a:endParaRPr lang="en-IN" sz="1050">
            <a:solidFill>
              <a:schemeClr val="bg1"/>
            </a:solidFill>
          </a:endParaRPr>
        </a:p>
      </xdr:txBody>
    </xdr:sp>
    <xdr:clientData/>
  </xdr:twoCellAnchor>
  <xdr:twoCellAnchor>
    <xdr:from>
      <xdr:col>10</xdr:col>
      <xdr:colOff>477294</xdr:colOff>
      <xdr:row>42</xdr:row>
      <xdr:rowOff>67513</xdr:rowOff>
    </xdr:from>
    <xdr:to>
      <xdr:col>11</xdr:col>
      <xdr:colOff>389966</xdr:colOff>
      <xdr:row>43</xdr:row>
      <xdr:rowOff>98611</xdr:rowOff>
    </xdr:to>
    <xdr:sp macro="" textlink="PivotTables!O16">
      <xdr:nvSpPr>
        <xdr:cNvPr id="2105" name="TextBox 2104">
          <a:extLst>
            <a:ext uri="{FF2B5EF4-FFF2-40B4-BE49-F238E27FC236}">
              <a16:creationId xmlns:a16="http://schemas.microsoft.com/office/drawing/2014/main" id="{241B5648-3021-439E-B899-DF8B7ED472A9}"/>
            </a:ext>
          </a:extLst>
        </xdr:cNvPr>
        <xdr:cNvSpPr txBox="1"/>
      </xdr:nvSpPr>
      <xdr:spPr>
        <a:xfrm>
          <a:off x="7913363" y="7240823"/>
          <a:ext cx="517017" cy="201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A03A54E-4718-4B12-A3CF-BECAE9BE579C}" type="TxLink">
            <a:rPr lang="en-US" sz="1000" b="1" i="0" u="none" strike="noStrike">
              <a:solidFill>
                <a:schemeClr val="bg1"/>
              </a:solidFill>
              <a:latin typeface="Kulim Park"/>
            </a:rPr>
            <a:pPr algn="l"/>
            <a:t>46%</a:t>
          </a:fld>
          <a:endParaRPr lang="en-IN" sz="1050" b="1">
            <a:solidFill>
              <a:schemeClr val="bg1"/>
            </a:solidFill>
          </a:endParaRPr>
        </a:p>
      </xdr:txBody>
    </xdr:sp>
    <xdr:clientData/>
  </xdr:twoCellAnchor>
  <xdr:twoCellAnchor>
    <xdr:from>
      <xdr:col>10</xdr:col>
      <xdr:colOff>477295</xdr:colOff>
      <xdr:row>44</xdr:row>
      <xdr:rowOff>116540</xdr:rowOff>
    </xdr:from>
    <xdr:to>
      <xdr:col>11</xdr:col>
      <xdr:colOff>479613</xdr:colOff>
      <xdr:row>46</xdr:row>
      <xdr:rowOff>32583</xdr:rowOff>
    </xdr:to>
    <xdr:sp macro="" textlink="PivotTables!O17">
      <xdr:nvSpPr>
        <xdr:cNvPr id="2106" name="TextBox 2105">
          <a:extLst>
            <a:ext uri="{FF2B5EF4-FFF2-40B4-BE49-F238E27FC236}">
              <a16:creationId xmlns:a16="http://schemas.microsoft.com/office/drawing/2014/main" id="{A4FF3FA7-DA6E-4937-8477-CF02FBB02A5C}"/>
            </a:ext>
          </a:extLst>
        </xdr:cNvPr>
        <xdr:cNvSpPr txBox="1"/>
      </xdr:nvSpPr>
      <xdr:spPr>
        <a:xfrm>
          <a:off x="7913364" y="7631437"/>
          <a:ext cx="606663" cy="257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D97E06E-7918-4619-B89E-25C9EE3EC282}" type="TxLink">
            <a:rPr lang="en-US" sz="1000" b="1" i="0" u="none" strike="noStrike">
              <a:solidFill>
                <a:schemeClr val="bg1"/>
              </a:solidFill>
              <a:latin typeface="Kulim Park"/>
              <a:ea typeface="+mn-ea"/>
              <a:cs typeface="+mn-cs"/>
            </a:rPr>
            <a:pPr marL="0" indent="0" algn="l"/>
            <a:t>16%</a:t>
          </a:fld>
          <a:endParaRPr lang="en-IN" sz="1000" b="1" i="0" u="none" strike="noStrike">
            <a:solidFill>
              <a:schemeClr val="bg1"/>
            </a:solidFill>
            <a:latin typeface="Kulim Park"/>
            <a:ea typeface="+mn-ea"/>
            <a:cs typeface="+mn-cs"/>
          </a:endParaRPr>
        </a:p>
      </xdr:txBody>
    </xdr:sp>
    <xdr:clientData/>
  </xdr:twoCellAnchor>
  <xdr:twoCellAnchor>
    <xdr:from>
      <xdr:col>10</xdr:col>
      <xdr:colOff>452790</xdr:colOff>
      <xdr:row>47</xdr:row>
      <xdr:rowOff>53788</xdr:rowOff>
    </xdr:from>
    <xdr:to>
      <xdr:col>11</xdr:col>
      <xdr:colOff>479611</xdr:colOff>
      <xdr:row>48</xdr:row>
      <xdr:rowOff>62753</xdr:rowOff>
    </xdr:to>
    <xdr:sp macro="" textlink="PivotTables!O18">
      <xdr:nvSpPr>
        <xdr:cNvPr id="2107" name="TextBox 2106">
          <a:extLst>
            <a:ext uri="{FF2B5EF4-FFF2-40B4-BE49-F238E27FC236}">
              <a16:creationId xmlns:a16="http://schemas.microsoft.com/office/drawing/2014/main" id="{A0763AB2-6ECC-4420-A2B7-69737B3F6EAA}"/>
            </a:ext>
          </a:extLst>
        </xdr:cNvPr>
        <xdr:cNvSpPr txBox="1"/>
      </xdr:nvSpPr>
      <xdr:spPr>
        <a:xfrm>
          <a:off x="7888859" y="8081064"/>
          <a:ext cx="631166" cy="179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F3D1A20-4205-4C91-85CC-038A95F96583}" type="TxLink">
            <a:rPr lang="en-US" sz="1000" b="1" i="0" u="none" strike="noStrike">
              <a:solidFill>
                <a:schemeClr val="bg1"/>
              </a:solidFill>
              <a:latin typeface="Kulim Park"/>
              <a:ea typeface="+mn-ea"/>
              <a:cs typeface="+mn-cs"/>
            </a:rPr>
            <a:pPr marL="0" indent="0" algn="l"/>
            <a:t>38%</a:t>
          </a:fld>
          <a:endParaRPr lang="en-IN" sz="1000" b="1" i="0" u="none" strike="noStrike">
            <a:solidFill>
              <a:schemeClr val="bg1"/>
            </a:solidFill>
            <a:latin typeface="Kulim Park"/>
            <a:ea typeface="+mn-ea"/>
            <a:cs typeface="+mn-cs"/>
          </a:endParaRPr>
        </a:p>
      </xdr:txBody>
    </xdr:sp>
    <xdr:clientData/>
  </xdr:twoCellAnchor>
  <xdr:twoCellAnchor>
    <xdr:from>
      <xdr:col>8</xdr:col>
      <xdr:colOff>423925</xdr:colOff>
      <xdr:row>38</xdr:row>
      <xdr:rowOff>140986</xdr:rowOff>
    </xdr:from>
    <xdr:to>
      <xdr:col>10</xdr:col>
      <xdr:colOff>425007</xdr:colOff>
      <xdr:row>40</xdr:row>
      <xdr:rowOff>6516</xdr:rowOff>
    </xdr:to>
    <xdr:sp macro="" textlink="">
      <xdr:nvSpPr>
        <xdr:cNvPr id="2108" name="TextBox 2107">
          <a:extLst>
            <a:ext uri="{FF2B5EF4-FFF2-40B4-BE49-F238E27FC236}">
              <a16:creationId xmlns:a16="http://schemas.microsoft.com/office/drawing/2014/main" id="{050959F1-3AB9-43C8-9CD8-7343B95645FC}"/>
            </a:ext>
          </a:extLst>
        </xdr:cNvPr>
        <xdr:cNvSpPr txBox="1"/>
      </xdr:nvSpPr>
      <xdr:spPr>
        <a:xfrm>
          <a:off x="6493649" y="6631124"/>
          <a:ext cx="1367427" cy="207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E5B244"/>
              </a:solidFill>
              <a:latin typeface="+mn-lt"/>
              <a:ea typeface="+mn-ea"/>
              <a:cs typeface="+mn-cs"/>
            </a:rPr>
            <a:t>Work</a:t>
          </a:r>
          <a:r>
            <a:rPr lang="en-US" sz="1400" baseline="0">
              <a:solidFill>
                <a:srgbClr val="E5B244"/>
              </a:solidFill>
              <a:latin typeface="+mn-lt"/>
              <a:ea typeface="+mn-ea"/>
              <a:cs typeface="+mn-cs"/>
            </a:rPr>
            <a:t> Location</a:t>
          </a:r>
          <a:endParaRPr lang="en-IN" sz="1400">
            <a:solidFill>
              <a:srgbClr val="E5B244"/>
            </a:solidFill>
            <a:latin typeface="+mn-lt"/>
            <a:ea typeface="+mn-ea"/>
            <a:cs typeface="+mn-cs"/>
          </a:endParaRPr>
        </a:p>
      </xdr:txBody>
    </xdr:sp>
    <xdr:clientData/>
  </xdr:twoCellAnchor>
  <xdr:twoCellAnchor>
    <xdr:from>
      <xdr:col>8</xdr:col>
      <xdr:colOff>283063</xdr:colOff>
      <xdr:row>39</xdr:row>
      <xdr:rowOff>138545</xdr:rowOff>
    </xdr:from>
    <xdr:to>
      <xdr:col>11</xdr:col>
      <xdr:colOff>36827</xdr:colOff>
      <xdr:row>40</xdr:row>
      <xdr:rowOff>150092</xdr:rowOff>
    </xdr:to>
    <xdr:sp macro="" textlink="">
      <xdr:nvSpPr>
        <xdr:cNvPr id="2109" name="TextBox 2108">
          <a:extLst>
            <a:ext uri="{FF2B5EF4-FFF2-40B4-BE49-F238E27FC236}">
              <a16:creationId xmlns:a16="http://schemas.microsoft.com/office/drawing/2014/main" id="{929BC1B0-8E42-4BB5-B386-F5EF26B8907F}"/>
            </a:ext>
          </a:extLst>
        </xdr:cNvPr>
        <xdr:cNvSpPr txBox="1"/>
      </xdr:nvSpPr>
      <xdr:spPr>
        <a:xfrm>
          <a:off x="6352787" y="6799476"/>
          <a:ext cx="1724454" cy="182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baseline="0">
              <a:solidFill>
                <a:schemeClr val="bg2">
                  <a:lumMod val="90000"/>
                </a:schemeClr>
              </a:solidFill>
              <a:latin typeface="Dubai" panose="020B0503030403030204" pitchFamily="34" charset="-78"/>
              <a:ea typeface="+mn-ea"/>
              <a:cs typeface="Dubai" panose="020B0503030403030204" pitchFamily="34" charset="-78"/>
            </a:rPr>
            <a:t>Employees to Workplace</a:t>
          </a:r>
        </a:p>
      </xdr:txBody>
    </xdr:sp>
    <xdr:clientData/>
  </xdr:twoCellAnchor>
  <xdr:twoCellAnchor>
    <xdr:from>
      <xdr:col>8</xdr:col>
      <xdr:colOff>415830</xdr:colOff>
      <xdr:row>28</xdr:row>
      <xdr:rowOff>136088</xdr:rowOff>
    </xdr:from>
    <xdr:to>
      <xdr:col>10</xdr:col>
      <xdr:colOff>177018</xdr:colOff>
      <xdr:row>30</xdr:row>
      <xdr:rowOff>17597</xdr:rowOff>
    </xdr:to>
    <xdr:sp macro="" textlink="">
      <xdr:nvSpPr>
        <xdr:cNvPr id="2110" name="TextBox 2109">
          <a:extLst>
            <a:ext uri="{FF2B5EF4-FFF2-40B4-BE49-F238E27FC236}">
              <a16:creationId xmlns:a16="http://schemas.microsoft.com/office/drawing/2014/main" id="{B65513A2-A76E-515D-B852-C395A3B3B3EF}"/>
            </a:ext>
          </a:extLst>
        </xdr:cNvPr>
        <xdr:cNvSpPr txBox="1"/>
      </xdr:nvSpPr>
      <xdr:spPr>
        <a:xfrm>
          <a:off x="6485554" y="4918295"/>
          <a:ext cx="1127533" cy="223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latin typeface="+mn-lt"/>
              <a:ea typeface="+mn-ea"/>
              <a:cs typeface="+mn-cs"/>
            </a:rPr>
            <a:t>Communication</a:t>
          </a:r>
        </a:p>
      </xdr:txBody>
    </xdr:sp>
    <xdr:clientData/>
  </xdr:twoCellAnchor>
  <xdr:twoCellAnchor>
    <xdr:from>
      <xdr:col>8</xdr:col>
      <xdr:colOff>465425</xdr:colOff>
      <xdr:row>30</xdr:row>
      <xdr:rowOff>45153</xdr:rowOff>
    </xdr:from>
    <xdr:to>
      <xdr:col>9</xdr:col>
      <xdr:colOff>564444</xdr:colOff>
      <xdr:row>31</xdr:row>
      <xdr:rowOff>114694</xdr:rowOff>
    </xdr:to>
    <xdr:sp macro="" textlink="">
      <xdr:nvSpPr>
        <xdr:cNvPr id="2111" name="TextBox 2110">
          <a:extLst>
            <a:ext uri="{FF2B5EF4-FFF2-40B4-BE49-F238E27FC236}">
              <a16:creationId xmlns:a16="http://schemas.microsoft.com/office/drawing/2014/main" id="{58A74B09-3C94-689F-34E6-C6C91788FC90}"/>
            </a:ext>
          </a:extLst>
        </xdr:cNvPr>
        <xdr:cNvSpPr txBox="1"/>
      </xdr:nvSpPr>
      <xdr:spPr>
        <a:xfrm>
          <a:off x="6535149" y="5168946"/>
          <a:ext cx="861019" cy="24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1"/>
              </a:solidFill>
            </a:rPr>
            <a:t>Design</a:t>
          </a:r>
          <a:endParaRPr lang="en-IN" sz="1100">
            <a:solidFill>
              <a:schemeClr val="bg1"/>
            </a:solidFill>
          </a:endParaRPr>
        </a:p>
      </xdr:txBody>
    </xdr:sp>
    <xdr:clientData/>
  </xdr:twoCellAnchor>
  <xdr:twoCellAnchor>
    <xdr:from>
      <xdr:col>8</xdr:col>
      <xdr:colOff>498227</xdr:colOff>
      <xdr:row>32</xdr:row>
      <xdr:rowOff>54686</xdr:rowOff>
    </xdr:from>
    <xdr:to>
      <xdr:col>9</xdr:col>
      <xdr:colOff>318196</xdr:colOff>
      <xdr:row>33</xdr:row>
      <xdr:rowOff>97752</xdr:rowOff>
    </xdr:to>
    <xdr:sp macro="" textlink="">
      <xdr:nvSpPr>
        <xdr:cNvPr id="2112" name="TextBox 2111">
          <a:extLst>
            <a:ext uri="{FF2B5EF4-FFF2-40B4-BE49-F238E27FC236}">
              <a16:creationId xmlns:a16="http://schemas.microsoft.com/office/drawing/2014/main" id="{3CE645F6-5A07-7100-15C9-C554F535961C}"/>
            </a:ext>
          </a:extLst>
        </xdr:cNvPr>
        <xdr:cNvSpPr txBox="1"/>
      </xdr:nvSpPr>
      <xdr:spPr>
        <a:xfrm>
          <a:off x="6567951" y="5520065"/>
          <a:ext cx="581969" cy="213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rPr>
            <a:t>Excel</a:t>
          </a:r>
        </a:p>
      </xdr:txBody>
    </xdr:sp>
    <xdr:clientData/>
  </xdr:twoCellAnchor>
  <xdr:twoCellAnchor>
    <xdr:from>
      <xdr:col>8</xdr:col>
      <xdr:colOff>447422</xdr:colOff>
      <xdr:row>33</xdr:row>
      <xdr:rowOff>166430</xdr:rowOff>
    </xdr:from>
    <xdr:to>
      <xdr:col>10</xdr:col>
      <xdr:colOff>5217</xdr:colOff>
      <xdr:row>35</xdr:row>
      <xdr:rowOff>95043</xdr:rowOff>
    </xdr:to>
    <xdr:sp macro="" textlink="">
      <xdr:nvSpPr>
        <xdr:cNvPr id="2113" name="TextBox 2112">
          <a:extLst>
            <a:ext uri="{FF2B5EF4-FFF2-40B4-BE49-F238E27FC236}">
              <a16:creationId xmlns:a16="http://schemas.microsoft.com/office/drawing/2014/main" id="{A507D800-62EF-41CC-B8BE-973BE103C485}"/>
            </a:ext>
          </a:extLst>
        </xdr:cNvPr>
        <xdr:cNvSpPr txBox="1"/>
      </xdr:nvSpPr>
      <xdr:spPr>
        <a:xfrm>
          <a:off x="6517146" y="5802602"/>
          <a:ext cx="924140" cy="27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1"/>
              </a:solidFill>
            </a:rPr>
            <a:t>Management</a:t>
          </a:r>
          <a:endParaRPr lang="en-IN" sz="1100">
            <a:solidFill>
              <a:schemeClr val="bg1"/>
            </a:solidFill>
          </a:endParaRPr>
        </a:p>
      </xdr:txBody>
    </xdr:sp>
    <xdr:clientData/>
  </xdr:twoCellAnchor>
  <xdr:twoCellAnchor>
    <xdr:from>
      <xdr:col>8</xdr:col>
      <xdr:colOff>388421</xdr:colOff>
      <xdr:row>35</xdr:row>
      <xdr:rowOff>151156</xdr:rowOff>
    </xdr:from>
    <xdr:to>
      <xdr:col>9</xdr:col>
      <xdr:colOff>330448</xdr:colOff>
      <xdr:row>37</xdr:row>
      <xdr:rowOff>21764</xdr:rowOff>
    </xdr:to>
    <xdr:sp macro="" textlink="">
      <xdr:nvSpPr>
        <xdr:cNvPr id="2114" name="TextBox 2113">
          <a:extLst>
            <a:ext uri="{FF2B5EF4-FFF2-40B4-BE49-F238E27FC236}">
              <a16:creationId xmlns:a16="http://schemas.microsoft.com/office/drawing/2014/main" id="{86866172-DFFE-4FDA-A704-14496A76B5EE}"/>
            </a:ext>
          </a:extLst>
        </xdr:cNvPr>
        <xdr:cNvSpPr txBox="1"/>
      </xdr:nvSpPr>
      <xdr:spPr>
        <a:xfrm>
          <a:off x="6458145" y="6128915"/>
          <a:ext cx="704027" cy="212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rPr>
            <a:t>Python</a:t>
          </a:r>
        </a:p>
        <a:p>
          <a:pPr algn="l"/>
          <a:endParaRPr lang="en-IN" sz="1100">
            <a:solidFill>
              <a:schemeClr val="bg1"/>
            </a:solidFill>
          </a:endParaRPr>
        </a:p>
      </xdr:txBody>
    </xdr:sp>
    <xdr:clientData/>
  </xdr:twoCellAnchor>
  <xdr:twoCellAnchor>
    <xdr:from>
      <xdr:col>10</xdr:col>
      <xdr:colOff>476925</xdr:colOff>
      <xdr:row>27</xdr:row>
      <xdr:rowOff>125260</xdr:rowOff>
    </xdr:from>
    <xdr:to>
      <xdr:col>11</xdr:col>
      <xdr:colOff>342306</xdr:colOff>
      <xdr:row>30</xdr:row>
      <xdr:rowOff>62632</xdr:rowOff>
    </xdr:to>
    <xdr:sp macro="" textlink="PivotTables!S14">
      <xdr:nvSpPr>
        <xdr:cNvPr id="2119" name="TextBox 2118">
          <a:extLst>
            <a:ext uri="{FF2B5EF4-FFF2-40B4-BE49-F238E27FC236}">
              <a16:creationId xmlns:a16="http://schemas.microsoft.com/office/drawing/2014/main" id="{D10B28EC-DB58-4F08-8076-58C909A130BB}"/>
            </a:ext>
          </a:extLst>
        </xdr:cNvPr>
        <xdr:cNvSpPr txBox="1"/>
      </xdr:nvSpPr>
      <xdr:spPr>
        <a:xfrm>
          <a:off x="7912994" y="4736674"/>
          <a:ext cx="469726" cy="449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9EE2D7-7A9E-4BFD-A1D1-75F9DE700924}" type="TxLink">
            <a:rPr lang="en-US" sz="1600" b="0" i="0" u="none" strike="noStrike">
              <a:solidFill>
                <a:srgbClr val="E5B244"/>
              </a:solidFill>
              <a:latin typeface="Aptos Narrow"/>
              <a:ea typeface="+mn-ea"/>
              <a:cs typeface="+mn-cs"/>
            </a:rPr>
            <a:pPr marL="0" indent="0" algn="r"/>
            <a:t>12</a:t>
          </a:fld>
          <a:endParaRPr lang="en-IN" sz="1600" b="0" i="0" u="none" strike="noStrike">
            <a:solidFill>
              <a:srgbClr val="E5B244"/>
            </a:solidFill>
            <a:latin typeface="Aptos Narrow"/>
            <a:ea typeface="+mn-ea"/>
            <a:cs typeface="+mn-cs"/>
          </a:endParaRPr>
        </a:p>
      </xdr:txBody>
    </xdr:sp>
    <xdr:clientData/>
  </xdr:twoCellAnchor>
  <xdr:twoCellAnchor>
    <xdr:from>
      <xdr:col>10</xdr:col>
      <xdr:colOff>481258</xdr:colOff>
      <xdr:row>30</xdr:row>
      <xdr:rowOff>86265</xdr:rowOff>
    </xdr:from>
    <xdr:to>
      <xdr:col>11</xdr:col>
      <xdr:colOff>322611</xdr:colOff>
      <xdr:row>32</xdr:row>
      <xdr:rowOff>28755</xdr:rowOff>
    </xdr:to>
    <xdr:sp macro="" textlink="PivotTables!S15">
      <xdr:nvSpPr>
        <xdr:cNvPr id="2120" name="TextBox 2119">
          <a:extLst>
            <a:ext uri="{FF2B5EF4-FFF2-40B4-BE49-F238E27FC236}">
              <a16:creationId xmlns:a16="http://schemas.microsoft.com/office/drawing/2014/main" id="{954C17AA-A6AD-477B-81CB-8F497E33E15B}"/>
            </a:ext>
          </a:extLst>
        </xdr:cNvPr>
        <xdr:cNvSpPr txBox="1"/>
      </xdr:nvSpPr>
      <xdr:spPr>
        <a:xfrm>
          <a:off x="7917327" y="5210058"/>
          <a:ext cx="445698" cy="284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19EDE39-EF6C-4C78-8013-2D898AC6E431}" type="TxLink">
            <a:rPr lang="en-US" sz="1600" b="0" i="0" u="none" strike="noStrike">
              <a:solidFill>
                <a:srgbClr val="E5B244"/>
              </a:solidFill>
              <a:latin typeface="Aptos Narrow"/>
              <a:ea typeface="+mn-ea"/>
              <a:cs typeface="+mn-cs"/>
            </a:rPr>
            <a:pPr marL="0" indent="0" algn="r"/>
            <a:t>11</a:t>
          </a:fld>
          <a:endParaRPr lang="en-IN" sz="1600" b="0" i="0" u="none" strike="noStrike">
            <a:solidFill>
              <a:srgbClr val="E5B244"/>
            </a:solidFill>
            <a:latin typeface="Aptos Narrow"/>
            <a:ea typeface="+mn-ea"/>
            <a:cs typeface="+mn-cs"/>
          </a:endParaRPr>
        </a:p>
      </xdr:txBody>
    </xdr:sp>
    <xdr:clientData/>
  </xdr:twoCellAnchor>
  <xdr:twoCellAnchor>
    <xdr:from>
      <xdr:col>10</xdr:col>
      <xdr:colOff>463926</xdr:colOff>
      <xdr:row>32</xdr:row>
      <xdr:rowOff>67949</xdr:rowOff>
    </xdr:from>
    <xdr:to>
      <xdr:col>11</xdr:col>
      <xdr:colOff>276525</xdr:colOff>
      <xdr:row>34</xdr:row>
      <xdr:rowOff>24815</xdr:rowOff>
    </xdr:to>
    <xdr:sp macro="" textlink="PivotTables!S16">
      <xdr:nvSpPr>
        <xdr:cNvPr id="2121" name="TextBox 2120">
          <a:extLst>
            <a:ext uri="{FF2B5EF4-FFF2-40B4-BE49-F238E27FC236}">
              <a16:creationId xmlns:a16="http://schemas.microsoft.com/office/drawing/2014/main" id="{25F37942-DE02-44B2-8AA0-2C4D681BF196}"/>
            </a:ext>
          </a:extLst>
        </xdr:cNvPr>
        <xdr:cNvSpPr txBox="1"/>
      </xdr:nvSpPr>
      <xdr:spPr>
        <a:xfrm>
          <a:off x="7899995" y="5533328"/>
          <a:ext cx="416944" cy="29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8ECA0A6-B414-47FB-9FD9-293BA3678E0D}" type="TxLink">
            <a:rPr lang="en-US" sz="1600" b="0" i="0" u="none" strike="noStrike">
              <a:solidFill>
                <a:srgbClr val="E5B244"/>
              </a:solidFill>
              <a:latin typeface="Aptos Narrow"/>
              <a:ea typeface="+mn-ea"/>
              <a:cs typeface="+mn-cs"/>
            </a:rPr>
            <a:pPr marL="0" indent="0" algn="r"/>
            <a:t>7</a:t>
          </a:fld>
          <a:endParaRPr lang="en-IN" sz="1600" b="0" i="0" u="none" strike="noStrike">
            <a:solidFill>
              <a:srgbClr val="E5B244"/>
            </a:solidFill>
            <a:latin typeface="Aptos Narrow"/>
            <a:ea typeface="+mn-ea"/>
            <a:cs typeface="+mn-cs"/>
          </a:endParaRPr>
        </a:p>
      </xdr:txBody>
    </xdr:sp>
    <xdr:clientData/>
  </xdr:twoCellAnchor>
  <xdr:twoCellAnchor>
    <xdr:from>
      <xdr:col>10</xdr:col>
      <xdr:colOff>435564</xdr:colOff>
      <xdr:row>33</xdr:row>
      <xdr:rowOff>160711</xdr:rowOff>
    </xdr:from>
    <xdr:to>
      <xdr:col>11</xdr:col>
      <xdr:colOff>284196</xdr:colOff>
      <xdr:row>35</xdr:row>
      <xdr:rowOff>140401</xdr:rowOff>
    </xdr:to>
    <xdr:sp macro="" textlink="PivotTables!S17">
      <xdr:nvSpPr>
        <xdr:cNvPr id="2122" name="TextBox 2121">
          <a:extLst>
            <a:ext uri="{FF2B5EF4-FFF2-40B4-BE49-F238E27FC236}">
              <a16:creationId xmlns:a16="http://schemas.microsoft.com/office/drawing/2014/main" id="{822FEC20-6416-4665-8456-1972CA806D2A}"/>
            </a:ext>
          </a:extLst>
        </xdr:cNvPr>
        <xdr:cNvSpPr txBox="1"/>
      </xdr:nvSpPr>
      <xdr:spPr>
        <a:xfrm>
          <a:off x="7871633" y="5796883"/>
          <a:ext cx="452977" cy="321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FB58F0C-5F85-48C5-996C-374B542342CE}" type="TxLink">
            <a:rPr lang="en-US" sz="1600" b="0" i="0" u="none" strike="noStrike">
              <a:solidFill>
                <a:srgbClr val="E5B244"/>
              </a:solidFill>
              <a:latin typeface="Aptos Narrow"/>
              <a:ea typeface="+mn-ea"/>
              <a:cs typeface="+mn-cs"/>
            </a:rPr>
            <a:pPr marL="0" indent="0" algn="r"/>
            <a:t>11</a:t>
          </a:fld>
          <a:endParaRPr lang="en-IN" sz="1600" b="0" i="0" u="none" strike="noStrike">
            <a:solidFill>
              <a:srgbClr val="E5B244"/>
            </a:solidFill>
            <a:latin typeface="Aptos Narrow"/>
            <a:ea typeface="+mn-ea"/>
            <a:cs typeface="+mn-cs"/>
          </a:endParaRPr>
        </a:p>
      </xdr:txBody>
    </xdr:sp>
    <xdr:clientData/>
  </xdr:twoCellAnchor>
  <xdr:twoCellAnchor>
    <xdr:from>
      <xdr:col>10</xdr:col>
      <xdr:colOff>580324</xdr:colOff>
      <xdr:row>35</xdr:row>
      <xdr:rowOff>126638</xdr:rowOff>
    </xdr:from>
    <xdr:to>
      <xdr:col>11</xdr:col>
      <xdr:colOff>281587</xdr:colOff>
      <xdr:row>37</xdr:row>
      <xdr:rowOff>70544</xdr:rowOff>
    </xdr:to>
    <xdr:sp macro="" textlink="PivotTables!S18">
      <xdr:nvSpPr>
        <xdr:cNvPr id="2123" name="TextBox 2122">
          <a:extLst>
            <a:ext uri="{FF2B5EF4-FFF2-40B4-BE49-F238E27FC236}">
              <a16:creationId xmlns:a16="http://schemas.microsoft.com/office/drawing/2014/main" id="{3C7895BC-7B97-42D0-A4D4-8F227601661F}"/>
            </a:ext>
          </a:extLst>
        </xdr:cNvPr>
        <xdr:cNvSpPr txBox="1"/>
      </xdr:nvSpPr>
      <xdr:spPr>
        <a:xfrm>
          <a:off x="8016393" y="6104397"/>
          <a:ext cx="305608" cy="28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0A40ADE-3BB7-4DE5-B31A-BFA2F02571F1}" type="TxLink">
            <a:rPr lang="en-US" sz="1600" b="1" i="0" u="none" strike="noStrike">
              <a:solidFill>
                <a:srgbClr val="E5B244"/>
              </a:solidFill>
              <a:latin typeface="Aptos Narrow"/>
              <a:ea typeface="+mn-ea"/>
              <a:cs typeface="+mn-cs"/>
            </a:rPr>
            <a:pPr marL="0" indent="0" algn="r"/>
            <a:t>9</a:t>
          </a:fld>
          <a:endParaRPr lang="en-IN" sz="1600" b="1" i="0" u="none" strike="noStrike">
            <a:solidFill>
              <a:srgbClr val="E5B244"/>
            </a:solidFill>
            <a:latin typeface="Aptos Narrow"/>
            <a:ea typeface="+mn-ea"/>
            <a:cs typeface="+mn-cs"/>
          </a:endParaRPr>
        </a:p>
      </xdr:txBody>
    </xdr:sp>
    <xdr:clientData/>
  </xdr:twoCellAnchor>
  <xdr:twoCellAnchor>
    <xdr:from>
      <xdr:col>8</xdr:col>
      <xdr:colOff>248903</xdr:colOff>
      <xdr:row>25</xdr:row>
      <xdr:rowOff>6119</xdr:rowOff>
    </xdr:from>
    <xdr:to>
      <xdr:col>10</xdr:col>
      <xdr:colOff>154416</xdr:colOff>
      <xdr:row>28</xdr:row>
      <xdr:rowOff>146136</xdr:rowOff>
    </xdr:to>
    <xdr:sp macro="" textlink="">
      <xdr:nvSpPr>
        <xdr:cNvPr id="2124" name="TextBox 2123">
          <a:extLst>
            <a:ext uri="{FF2B5EF4-FFF2-40B4-BE49-F238E27FC236}">
              <a16:creationId xmlns:a16="http://schemas.microsoft.com/office/drawing/2014/main" id="{15091B72-5DAA-4949-9911-1B017A98FC16}"/>
            </a:ext>
          </a:extLst>
        </xdr:cNvPr>
        <xdr:cNvSpPr txBox="1"/>
      </xdr:nvSpPr>
      <xdr:spPr>
        <a:xfrm>
          <a:off x="6318627" y="4275947"/>
          <a:ext cx="1271858" cy="652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E5B244"/>
              </a:solidFill>
              <a:latin typeface="+mn-lt"/>
              <a:ea typeface="+mn-ea"/>
              <a:cs typeface="+mn-cs"/>
            </a:rPr>
            <a:t>Skills</a:t>
          </a:r>
        </a:p>
        <a:p>
          <a:pPr algn="l"/>
          <a:r>
            <a:rPr lang="en-US" sz="1600" b="1" baseline="0">
              <a:solidFill>
                <a:srgbClr val="E5B244"/>
              </a:solidFill>
              <a:latin typeface="+mn-lt"/>
              <a:ea typeface="+mn-ea"/>
              <a:cs typeface="+mn-cs"/>
            </a:rPr>
            <a:t> BreakDown</a:t>
          </a:r>
          <a:endParaRPr lang="en-IN" sz="1600" b="1">
            <a:solidFill>
              <a:srgbClr val="E5B244"/>
            </a:solidFill>
            <a:latin typeface="+mn-lt"/>
            <a:ea typeface="+mn-ea"/>
            <a:cs typeface="+mn-cs"/>
          </a:endParaRPr>
        </a:p>
      </xdr:txBody>
    </xdr:sp>
    <xdr:clientData/>
  </xdr:twoCellAnchor>
  <xdr:twoCellAnchor editAs="oneCell">
    <xdr:from>
      <xdr:col>9</xdr:col>
      <xdr:colOff>88870</xdr:colOff>
      <xdr:row>19</xdr:row>
      <xdr:rowOff>56866</xdr:rowOff>
    </xdr:from>
    <xdr:to>
      <xdr:col>10</xdr:col>
      <xdr:colOff>264775</xdr:colOff>
      <xdr:row>25</xdr:row>
      <xdr:rowOff>33729</xdr:rowOff>
    </xdr:to>
    <xdr:pic>
      <xdr:nvPicPr>
        <xdr:cNvPr id="2129" name="Picture 2128">
          <a:extLst>
            <a:ext uri="{FF2B5EF4-FFF2-40B4-BE49-F238E27FC236}">
              <a16:creationId xmlns:a16="http://schemas.microsoft.com/office/drawing/2014/main" id="{4B6F89AE-9324-39CE-B326-110FFF0232AE}"/>
            </a:ext>
          </a:extLst>
        </xdr:cNvPr>
        <xdr:cNvPicPr>
          <a:picLocks noChangeAspect="1"/>
        </xdr:cNvPicPr>
      </xdr:nvPicPr>
      <xdr:blipFill>
        <a:blip xmlns:r="http://schemas.openxmlformats.org/officeDocument/2006/relationships" r:embed="rId6"/>
        <a:stretch>
          <a:fillRect/>
        </a:stretch>
      </xdr:blipFill>
      <xdr:spPr>
        <a:xfrm>
          <a:off x="6920594" y="3301935"/>
          <a:ext cx="780250" cy="1001622"/>
        </a:xfrm>
        <a:prstGeom prst="rect">
          <a:avLst/>
        </a:prstGeom>
      </xdr:spPr>
    </xdr:pic>
    <xdr:clientData/>
  </xdr:twoCellAnchor>
  <xdr:twoCellAnchor>
    <xdr:from>
      <xdr:col>12</xdr:col>
      <xdr:colOff>186904</xdr:colOff>
      <xdr:row>22</xdr:row>
      <xdr:rowOff>75817</xdr:rowOff>
    </xdr:from>
    <xdr:to>
      <xdr:col>13</xdr:col>
      <xdr:colOff>302508</xdr:colOff>
      <xdr:row>25</xdr:row>
      <xdr:rowOff>87922</xdr:rowOff>
    </xdr:to>
    <xdr:sp macro="" textlink="">
      <xdr:nvSpPr>
        <xdr:cNvPr id="2130" name="TextBox 2129">
          <a:extLst>
            <a:ext uri="{FF2B5EF4-FFF2-40B4-BE49-F238E27FC236}">
              <a16:creationId xmlns:a16="http://schemas.microsoft.com/office/drawing/2014/main" id="{EA5D14A6-7883-4D8C-AE30-D4677E9B1FFF}"/>
            </a:ext>
          </a:extLst>
        </xdr:cNvPr>
        <xdr:cNvSpPr txBox="1"/>
      </xdr:nvSpPr>
      <xdr:spPr>
        <a:xfrm>
          <a:off x="8831663" y="3833265"/>
          <a:ext cx="719948" cy="52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b="1">
              <a:solidFill>
                <a:schemeClr val="bg1"/>
              </a:solidFill>
              <a:latin typeface="+mn-lt"/>
              <a:ea typeface="+mn-ea"/>
              <a:cs typeface="+mn-cs"/>
            </a:rPr>
            <a:t>50</a:t>
          </a:r>
          <a:endParaRPr lang="en-IN" sz="3200" b="1">
            <a:solidFill>
              <a:schemeClr val="bg1"/>
            </a:solidFill>
            <a:latin typeface="+mn-lt"/>
            <a:ea typeface="+mn-ea"/>
            <a:cs typeface="+mn-cs"/>
          </a:endParaRPr>
        </a:p>
      </xdr:txBody>
    </xdr:sp>
    <xdr:clientData/>
  </xdr:twoCellAnchor>
  <xdr:twoCellAnchor>
    <xdr:from>
      <xdr:col>12</xdr:col>
      <xdr:colOff>376068</xdr:colOff>
      <xdr:row>20</xdr:row>
      <xdr:rowOff>56803</xdr:rowOff>
    </xdr:from>
    <xdr:to>
      <xdr:col>15</xdr:col>
      <xdr:colOff>542817</xdr:colOff>
      <xdr:row>21</xdr:row>
      <xdr:rowOff>131468</xdr:rowOff>
    </xdr:to>
    <xdr:sp macro="" textlink="">
      <xdr:nvSpPr>
        <xdr:cNvPr id="2131" name="TextBox 2130">
          <a:extLst>
            <a:ext uri="{FF2B5EF4-FFF2-40B4-BE49-F238E27FC236}">
              <a16:creationId xmlns:a16="http://schemas.microsoft.com/office/drawing/2014/main" id="{3263BDE5-38DF-4CFF-8D0F-9E4035282061}"/>
            </a:ext>
          </a:extLst>
        </xdr:cNvPr>
        <xdr:cNvSpPr txBox="1"/>
      </xdr:nvSpPr>
      <xdr:spPr>
        <a:xfrm>
          <a:off x="9020827" y="3472665"/>
          <a:ext cx="1979783" cy="245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E5B244"/>
              </a:solidFill>
              <a:latin typeface="+mn-lt"/>
              <a:ea typeface="+mn-ea"/>
              <a:cs typeface="+mn-cs"/>
            </a:rPr>
            <a:t>Employees</a:t>
          </a:r>
          <a:r>
            <a:rPr lang="en-US" sz="1400" b="1" baseline="0">
              <a:solidFill>
                <a:srgbClr val="E5B244"/>
              </a:solidFill>
              <a:latin typeface="+mn-lt"/>
              <a:ea typeface="+mn-ea"/>
              <a:cs typeface="+mn-cs"/>
            </a:rPr>
            <a:t> Number</a:t>
          </a:r>
          <a:endParaRPr lang="en-IN" sz="1400" b="1">
            <a:solidFill>
              <a:srgbClr val="E5B244"/>
            </a:solidFill>
            <a:latin typeface="+mn-lt"/>
            <a:ea typeface="+mn-ea"/>
            <a:cs typeface="+mn-cs"/>
          </a:endParaRPr>
        </a:p>
      </xdr:txBody>
    </xdr:sp>
    <xdr:clientData/>
  </xdr:twoCellAnchor>
  <xdr:twoCellAnchor>
    <xdr:from>
      <xdr:col>12</xdr:col>
      <xdr:colOff>92610</xdr:colOff>
      <xdr:row>25</xdr:row>
      <xdr:rowOff>19538</xdr:rowOff>
    </xdr:from>
    <xdr:to>
      <xdr:col>14</xdr:col>
      <xdr:colOff>335861</xdr:colOff>
      <xdr:row>26</xdr:row>
      <xdr:rowOff>49708</xdr:rowOff>
    </xdr:to>
    <xdr:sp macro="" textlink="">
      <xdr:nvSpPr>
        <xdr:cNvPr id="2132" name="TextBox 2131">
          <a:extLst>
            <a:ext uri="{FF2B5EF4-FFF2-40B4-BE49-F238E27FC236}">
              <a16:creationId xmlns:a16="http://schemas.microsoft.com/office/drawing/2014/main" id="{0379188F-FAE7-49D9-9A6F-FD91D7E4A566}"/>
            </a:ext>
          </a:extLst>
        </xdr:cNvPr>
        <xdr:cNvSpPr txBox="1"/>
      </xdr:nvSpPr>
      <xdr:spPr>
        <a:xfrm>
          <a:off x="8737369" y="4289366"/>
          <a:ext cx="1451940" cy="200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solidFill>
                <a:schemeClr val="bg1"/>
              </a:solidFill>
              <a:latin typeface="+mn-lt"/>
              <a:ea typeface="+mn-ea"/>
              <a:cs typeface="+mn-cs"/>
            </a:rPr>
            <a:t>Total</a:t>
          </a:r>
          <a:r>
            <a:rPr lang="en-US" sz="1050" b="1" baseline="0">
              <a:solidFill>
                <a:schemeClr val="bg1"/>
              </a:solidFill>
              <a:latin typeface="+mn-lt"/>
              <a:ea typeface="+mn-ea"/>
              <a:cs typeface="+mn-cs"/>
            </a:rPr>
            <a:t> Employees</a:t>
          </a:r>
          <a:endParaRPr lang="en-IN" sz="1050" b="1">
            <a:solidFill>
              <a:schemeClr val="bg1"/>
            </a:solidFill>
            <a:latin typeface="+mn-lt"/>
            <a:ea typeface="+mn-ea"/>
            <a:cs typeface="+mn-cs"/>
          </a:endParaRPr>
        </a:p>
      </xdr:txBody>
    </xdr:sp>
    <xdr:clientData/>
  </xdr:twoCellAnchor>
  <xdr:twoCellAnchor editAs="oneCell">
    <xdr:from>
      <xdr:col>15</xdr:col>
      <xdr:colOff>195110</xdr:colOff>
      <xdr:row>21</xdr:row>
      <xdr:rowOff>110125</xdr:rowOff>
    </xdr:from>
    <xdr:to>
      <xdr:col>16</xdr:col>
      <xdr:colOff>461989</xdr:colOff>
      <xdr:row>26</xdr:row>
      <xdr:rowOff>90587</xdr:rowOff>
    </xdr:to>
    <xdr:pic>
      <xdr:nvPicPr>
        <xdr:cNvPr id="2133" name="Picture 2132">
          <a:extLst>
            <a:ext uri="{FF2B5EF4-FFF2-40B4-BE49-F238E27FC236}">
              <a16:creationId xmlns:a16="http://schemas.microsoft.com/office/drawing/2014/main" id="{03619EA9-C36B-6D91-63D0-14EAF92564E6}"/>
            </a:ext>
          </a:extLst>
        </xdr:cNvPr>
        <xdr:cNvPicPr>
          <a:picLocks noChangeAspect="1"/>
        </xdr:cNvPicPr>
      </xdr:nvPicPr>
      <xdr:blipFill>
        <a:blip xmlns:r="http://schemas.openxmlformats.org/officeDocument/2006/relationships" r:embed="rId7"/>
        <a:stretch>
          <a:fillRect/>
        </a:stretch>
      </xdr:blipFill>
      <xdr:spPr>
        <a:xfrm>
          <a:off x="10652903" y="3696780"/>
          <a:ext cx="871224" cy="834428"/>
        </a:xfrm>
        <a:prstGeom prst="rect">
          <a:avLst/>
        </a:prstGeom>
      </xdr:spPr>
    </xdr:pic>
    <xdr:clientData/>
  </xdr:twoCellAnchor>
  <xdr:twoCellAnchor>
    <xdr:from>
      <xdr:col>12</xdr:col>
      <xdr:colOff>128349</xdr:colOff>
      <xdr:row>28</xdr:row>
      <xdr:rowOff>117229</xdr:rowOff>
    </xdr:from>
    <xdr:to>
      <xdr:col>13</xdr:col>
      <xdr:colOff>146203</xdr:colOff>
      <xdr:row>30</xdr:row>
      <xdr:rowOff>35055</xdr:rowOff>
    </xdr:to>
    <xdr:sp macro="" textlink="">
      <xdr:nvSpPr>
        <xdr:cNvPr id="2134" name="TextBox 2133">
          <a:extLst>
            <a:ext uri="{FF2B5EF4-FFF2-40B4-BE49-F238E27FC236}">
              <a16:creationId xmlns:a16="http://schemas.microsoft.com/office/drawing/2014/main" id="{F1845378-C32B-48FB-A1D6-32069C775B5E}"/>
            </a:ext>
          </a:extLst>
        </xdr:cNvPr>
        <xdr:cNvSpPr txBox="1"/>
      </xdr:nvSpPr>
      <xdr:spPr>
        <a:xfrm>
          <a:off x="8773108" y="4899436"/>
          <a:ext cx="622198" cy="25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E5B244"/>
              </a:solidFill>
              <a:latin typeface="+mn-lt"/>
              <a:ea typeface="+mn-ea"/>
              <a:cs typeface="+mn-cs"/>
            </a:rPr>
            <a:t>Males</a:t>
          </a:r>
          <a:endParaRPr lang="en-IN" sz="1400">
            <a:solidFill>
              <a:srgbClr val="E5B244"/>
            </a:solidFill>
            <a:latin typeface="+mn-lt"/>
            <a:ea typeface="+mn-ea"/>
            <a:cs typeface="+mn-cs"/>
          </a:endParaRPr>
        </a:p>
      </xdr:txBody>
    </xdr:sp>
    <xdr:clientData/>
  </xdr:twoCellAnchor>
  <xdr:twoCellAnchor>
    <xdr:from>
      <xdr:col>14</xdr:col>
      <xdr:colOff>535346</xdr:colOff>
      <xdr:row>28</xdr:row>
      <xdr:rowOff>63983</xdr:rowOff>
    </xdr:from>
    <xdr:to>
      <xdr:col>16</xdr:col>
      <xdr:colOff>126565</xdr:colOff>
      <xdr:row>29</xdr:row>
      <xdr:rowOff>75618</xdr:rowOff>
    </xdr:to>
    <xdr:sp macro="" textlink="">
      <xdr:nvSpPr>
        <xdr:cNvPr id="2135" name="TextBox 2134">
          <a:extLst>
            <a:ext uri="{FF2B5EF4-FFF2-40B4-BE49-F238E27FC236}">
              <a16:creationId xmlns:a16="http://schemas.microsoft.com/office/drawing/2014/main" id="{6063B98A-B4B9-49C0-A341-7D0E7B23752D}"/>
            </a:ext>
          </a:extLst>
        </xdr:cNvPr>
        <xdr:cNvSpPr txBox="1"/>
      </xdr:nvSpPr>
      <xdr:spPr>
        <a:xfrm>
          <a:off x="10388794" y="4846190"/>
          <a:ext cx="799909" cy="182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rgbClr val="E5B244"/>
              </a:solidFill>
              <a:latin typeface="+mn-lt"/>
              <a:ea typeface="+mn-ea"/>
              <a:cs typeface="+mn-cs"/>
            </a:rPr>
            <a:t>Females</a:t>
          </a:r>
          <a:endParaRPr lang="en-IN" sz="1400">
            <a:solidFill>
              <a:srgbClr val="E5B244"/>
            </a:solidFill>
            <a:latin typeface="+mn-lt"/>
            <a:ea typeface="+mn-ea"/>
            <a:cs typeface="+mn-cs"/>
          </a:endParaRPr>
        </a:p>
      </xdr:txBody>
    </xdr:sp>
    <xdr:clientData/>
  </xdr:twoCellAnchor>
  <xdr:twoCellAnchor>
    <xdr:from>
      <xdr:col>14</xdr:col>
      <xdr:colOff>347145</xdr:colOff>
      <xdr:row>29</xdr:row>
      <xdr:rowOff>29324</xdr:rowOff>
    </xdr:from>
    <xdr:to>
      <xdr:col>17</xdr:col>
      <xdr:colOff>116944</xdr:colOff>
      <xdr:row>35</xdr:row>
      <xdr:rowOff>455</xdr:rowOff>
    </xdr:to>
    <xdr:graphicFrame macro="">
      <xdr:nvGraphicFramePr>
        <xdr:cNvPr id="2136" name="Chart 2135">
          <a:extLst>
            <a:ext uri="{FF2B5EF4-FFF2-40B4-BE49-F238E27FC236}">
              <a16:creationId xmlns:a16="http://schemas.microsoft.com/office/drawing/2014/main" id="{2770C614-6A1D-4849-99C8-837D0C97E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41922</xdr:colOff>
      <xdr:row>29</xdr:row>
      <xdr:rowOff>72081</xdr:rowOff>
    </xdr:from>
    <xdr:to>
      <xdr:col>14</xdr:col>
      <xdr:colOff>217309</xdr:colOff>
      <xdr:row>34</xdr:row>
      <xdr:rowOff>140580</xdr:rowOff>
    </xdr:to>
    <xdr:graphicFrame macro="">
      <xdr:nvGraphicFramePr>
        <xdr:cNvPr id="2137" name="Chart 2136">
          <a:extLst>
            <a:ext uri="{FF2B5EF4-FFF2-40B4-BE49-F238E27FC236}">
              <a16:creationId xmlns:a16="http://schemas.microsoft.com/office/drawing/2014/main" id="{1B8F7DA9-074F-465B-A5F2-DB22C8C77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417361</xdr:colOff>
      <xdr:row>21</xdr:row>
      <xdr:rowOff>83634</xdr:rowOff>
    </xdr:from>
    <xdr:to>
      <xdr:col>22</xdr:col>
      <xdr:colOff>20570</xdr:colOff>
      <xdr:row>34</xdr:row>
      <xdr:rowOff>51564</xdr:rowOff>
    </xdr:to>
    <xdr:graphicFrame macro="">
      <xdr:nvGraphicFramePr>
        <xdr:cNvPr id="2138" name="Chart 2137">
          <a:extLst>
            <a:ext uri="{FF2B5EF4-FFF2-40B4-BE49-F238E27FC236}">
              <a16:creationId xmlns:a16="http://schemas.microsoft.com/office/drawing/2014/main" id="{56CC63F4-18F6-4E02-8034-60EF82C25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155506</xdr:colOff>
      <xdr:row>19</xdr:row>
      <xdr:rowOff>124093</xdr:rowOff>
    </xdr:from>
    <xdr:to>
      <xdr:col>20</xdr:col>
      <xdr:colOff>432703</xdr:colOff>
      <xdr:row>21</xdr:row>
      <xdr:rowOff>46326</xdr:rowOff>
    </xdr:to>
    <xdr:sp macro="" textlink="">
      <xdr:nvSpPr>
        <xdr:cNvPr id="2149" name="TextBox 2148">
          <a:extLst>
            <a:ext uri="{FF2B5EF4-FFF2-40B4-BE49-F238E27FC236}">
              <a16:creationId xmlns:a16="http://schemas.microsoft.com/office/drawing/2014/main" id="{1D5D9611-1AC7-46ED-B20F-79FE18EFB9B3}"/>
            </a:ext>
          </a:extLst>
        </xdr:cNvPr>
        <xdr:cNvSpPr txBox="1"/>
      </xdr:nvSpPr>
      <xdr:spPr>
        <a:xfrm>
          <a:off x="12426334" y="3369162"/>
          <a:ext cx="1485886" cy="263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E5B244"/>
              </a:solidFill>
              <a:latin typeface="+mn-lt"/>
              <a:ea typeface="+mn-ea"/>
              <a:cs typeface="+mn-cs"/>
            </a:rPr>
            <a:t>Leave</a:t>
          </a:r>
          <a:r>
            <a:rPr lang="en-US" sz="1400" b="1" baseline="0">
              <a:solidFill>
                <a:srgbClr val="E5B244"/>
              </a:solidFill>
              <a:latin typeface="+mn-lt"/>
              <a:ea typeface="+mn-ea"/>
              <a:cs typeface="+mn-cs"/>
            </a:rPr>
            <a:t> Tracking</a:t>
          </a:r>
          <a:endParaRPr lang="en-IN" sz="1400" b="1">
            <a:solidFill>
              <a:srgbClr val="E5B244"/>
            </a:solidFill>
            <a:latin typeface="+mn-lt"/>
            <a:ea typeface="+mn-ea"/>
            <a:cs typeface="+mn-cs"/>
          </a:endParaRPr>
        </a:p>
      </xdr:txBody>
    </xdr:sp>
    <xdr:clientData/>
  </xdr:twoCellAnchor>
  <xdr:twoCellAnchor>
    <xdr:from>
      <xdr:col>18</xdr:col>
      <xdr:colOff>225366</xdr:colOff>
      <xdr:row>21</xdr:row>
      <xdr:rowOff>42850</xdr:rowOff>
    </xdr:from>
    <xdr:to>
      <xdr:col>21</xdr:col>
      <xdr:colOff>355291</xdr:colOff>
      <xdr:row>22</xdr:row>
      <xdr:rowOff>44208</xdr:rowOff>
    </xdr:to>
    <xdr:sp macro="" textlink="">
      <xdr:nvSpPr>
        <xdr:cNvPr id="2150" name="TextBox 2149">
          <a:extLst>
            <a:ext uri="{FF2B5EF4-FFF2-40B4-BE49-F238E27FC236}">
              <a16:creationId xmlns:a16="http://schemas.microsoft.com/office/drawing/2014/main" id="{6CEBAE38-01B1-471A-9061-EF7B0D50B693}"/>
            </a:ext>
          </a:extLst>
        </xdr:cNvPr>
        <xdr:cNvSpPr txBox="1"/>
      </xdr:nvSpPr>
      <xdr:spPr>
        <a:xfrm>
          <a:off x="12496194" y="3629505"/>
          <a:ext cx="1942959" cy="172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2">
                  <a:lumMod val="90000"/>
                </a:schemeClr>
              </a:solidFill>
              <a:latin typeface="Dubai" panose="020B0503030403030204" pitchFamily="34" charset="-78"/>
              <a:ea typeface="+mn-ea"/>
              <a:cs typeface="Dubai" panose="020B0503030403030204" pitchFamily="34" charset="-78"/>
            </a:rPr>
            <a:t>Leave</a:t>
          </a:r>
          <a:r>
            <a:rPr lang="en-IN" sz="900" b="1" baseline="0">
              <a:solidFill>
                <a:schemeClr val="bg2">
                  <a:lumMod val="90000"/>
                </a:schemeClr>
              </a:solidFill>
              <a:latin typeface="Dubai" panose="020B0503030403030204" pitchFamily="34" charset="-78"/>
              <a:ea typeface="+mn-ea"/>
              <a:cs typeface="Dubai" panose="020B0503030403030204" pitchFamily="34" charset="-78"/>
            </a:rPr>
            <a:t> taken by job title</a:t>
          </a:r>
          <a:endParaRPr lang="en-IN" sz="900" b="1">
            <a:solidFill>
              <a:schemeClr val="bg2">
                <a:lumMod val="90000"/>
              </a:schemeClr>
            </a:solidFill>
            <a:latin typeface="Dubai" panose="020B0503030403030204" pitchFamily="34" charset="-78"/>
            <a:ea typeface="+mn-ea"/>
            <a:cs typeface="Dubai" panose="020B0503030403030204" pitchFamily="34" charset="-78"/>
          </a:endParaRPr>
        </a:p>
      </xdr:txBody>
    </xdr:sp>
    <xdr:clientData/>
  </xdr:twoCellAnchor>
  <xdr:twoCellAnchor>
    <xdr:from>
      <xdr:col>22</xdr:col>
      <xdr:colOff>281631</xdr:colOff>
      <xdr:row>25</xdr:row>
      <xdr:rowOff>27708</xdr:rowOff>
    </xdr:from>
    <xdr:to>
      <xdr:col>27</xdr:col>
      <xdr:colOff>990124</xdr:colOff>
      <xdr:row>32</xdr:row>
      <xdr:rowOff>13853</xdr:rowOff>
    </xdr:to>
    <xdr:graphicFrame macro="">
      <xdr:nvGraphicFramePr>
        <xdr:cNvPr id="2151" name="Chart 2150">
          <a:extLst>
            <a:ext uri="{FF2B5EF4-FFF2-40B4-BE49-F238E27FC236}">
              <a16:creationId xmlns:a16="http://schemas.microsoft.com/office/drawing/2014/main" id="{1A7E2764-FF90-4FD1-B6DB-FD455CFA9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587639</xdr:colOff>
      <xdr:row>23</xdr:row>
      <xdr:rowOff>37169</xdr:rowOff>
    </xdr:from>
    <xdr:to>
      <xdr:col>24</xdr:col>
      <xdr:colOff>223956</xdr:colOff>
      <xdr:row>24</xdr:row>
      <xdr:rowOff>79744</xdr:rowOff>
    </xdr:to>
    <xdr:sp macro="" textlink="">
      <xdr:nvSpPr>
        <xdr:cNvPr id="2152" name="TextBox 2151">
          <a:extLst>
            <a:ext uri="{FF2B5EF4-FFF2-40B4-BE49-F238E27FC236}">
              <a16:creationId xmlns:a16="http://schemas.microsoft.com/office/drawing/2014/main" id="{766F19C6-C2BB-4B13-B460-32FBCCC4431F}"/>
            </a:ext>
          </a:extLst>
        </xdr:cNvPr>
        <xdr:cNvSpPr txBox="1"/>
      </xdr:nvSpPr>
      <xdr:spPr>
        <a:xfrm>
          <a:off x="15275846" y="3965410"/>
          <a:ext cx="845007" cy="213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E5B244"/>
              </a:solidFill>
              <a:latin typeface="+mn-lt"/>
              <a:ea typeface="+mn-ea"/>
              <a:cs typeface="+mn-cs"/>
            </a:rPr>
            <a:t>Regions</a:t>
          </a:r>
          <a:endParaRPr lang="en-IN" sz="1400">
            <a:solidFill>
              <a:srgbClr val="E5B244"/>
            </a:solidFill>
            <a:latin typeface="+mn-lt"/>
            <a:ea typeface="+mn-ea"/>
            <a:cs typeface="+mn-cs"/>
          </a:endParaRPr>
        </a:p>
      </xdr:txBody>
    </xdr:sp>
    <xdr:clientData/>
  </xdr:twoCellAnchor>
  <xdr:twoCellAnchor>
    <xdr:from>
      <xdr:col>22</xdr:col>
      <xdr:colOff>387114</xdr:colOff>
      <xdr:row>24</xdr:row>
      <xdr:rowOff>53162</xdr:rowOff>
    </xdr:from>
    <xdr:to>
      <xdr:col>27</xdr:col>
      <xdr:colOff>327488</xdr:colOff>
      <xdr:row>25</xdr:row>
      <xdr:rowOff>44301</xdr:rowOff>
    </xdr:to>
    <xdr:sp macro="" textlink="">
      <xdr:nvSpPr>
        <xdr:cNvPr id="2153" name="TextBox 2152">
          <a:extLst>
            <a:ext uri="{FF2B5EF4-FFF2-40B4-BE49-F238E27FC236}">
              <a16:creationId xmlns:a16="http://schemas.microsoft.com/office/drawing/2014/main" id="{74B0B8BF-BC1F-4B3D-8A23-E13A8922814B}"/>
            </a:ext>
          </a:extLst>
        </xdr:cNvPr>
        <xdr:cNvSpPr txBox="1"/>
      </xdr:nvSpPr>
      <xdr:spPr>
        <a:xfrm>
          <a:off x="15075321" y="4152196"/>
          <a:ext cx="1884788" cy="16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2">
                  <a:lumMod val="90000"/>
                </a:schemeClr>
              </a:solidFill>
              <a:latin typeface="Dubai" panose="020B0503030403030204" pitchFamily="34" charset="-78"/>
              <a:ea typeface="+mn-ea"/>
              <a:cs typeface="Dubai" panose="020B0503030403030204" pitchFamily="34" charset="-78"/>
            </a:rPr>
            <a:t>Employees</a:t>
          </a:r>
          <a:r>
            <a:rPr lang="en-IN" sz="900" b="1" baseline="0">
              <a:solidFill>
                <a:schemeClr val="bg2">
                  <a:lumMod val="90000"/>
                </a:schemeClr>
              </a:solidFill>
              <a:latin typeface="Dubai" panose="020B0503030403030204" pitchFamily="34" charset="-78"/>
              <a:ea typeface="+mn-ea"/>
              <a:cs typeface="Dubai" panose="020B0503030403030204" pitchFamily="34" charset="-78"/>
            </a:rPr>
            <a:t> per region</a:t>
          </a:r>
          <a:endParaRPr lang="en-IN" sz="900" b="1">
            <a:solidFill>
              <a:schemeClr val="bg2">
                <a:lumMod val="90000"/>
              </a:schemeClr>
            </a:solidFill>
            <a:latin typeface="Dubai" panose="020B0503030403030204" pitchFamily="34" charset="-78"/>
            <a:ea typeface="+mn-ea"/>
            <a:cs typeface="Dubai" panose="020B0503030403030204" pitchFamily="34" charset="-78"/>
          </a:endParaRPr>
        </a:p>
      </xdr:txBody>
    </xdr:sp>
    <xdr:clientData/>
  </xdr:twoCellAnchor>
  <xdr:twoCellAnchor>
    <xdr:from>
      <xdr:col>22</xdr:col>
      <xdr:colOff>346254</xdr:colOff>
      <xdr:row>19</xdr:row>
      <xdr:rowOff>67235</xdr:rowOff>
    </xdr:from>
    <xdr:to>
      <xdr:col>25</xdr:col>
      <xdr:colOff>93125</xdr:colOff>
      <xdr:row>21</xdr:row>
      <xdr:rowOff>11205</xdr:rowOff>
    </xdr:to>
    <xdr:sp macro="" textlink="">
      <xdr:nvSpPr>
        <xdr:cNvPr id="2156" name="TextBox 2155">
          <a:extLst>
            <a:ext uri="{FF2B5EF4-FFF2-40B4-BE49-F238E27FC236}">
              <a16:creationId xmlns:a16="http://schemas.microsoft.com/office/drawing/2014/main" id="{0D967D1D-8169-4A79-BEFD-00E83E2D0221}"/>
            </a:ext>
          </a:extLst>
        </xdr:cNvPr>
        <xdr:cNvSpPr txBox="1"/>
      </xdr:nvSpPr>
      <xdr:spPr>
        <a:xfrm>
          <a:off x="15034461" y="3312304"/>
          <a:ext cx="1559905" cy="285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solidFill>
                <a:schemeClr val="bg1"/>
              </a:solidFill>
              <a:latin typeface="+mn-lt"/>
              <a:ea typeface="+mn-ea"/>
              <a:cs typeface="+mn-cs"/>
            </a:rPr>
            <a:t>Average</a:t>
          </a:r>
          <a:r>
            <a:rPr lang="en-US" sz="1050" b="1" baseline="0">
              <a:solidFill>
                <a:schemeClr val="bg1"/>
              </a:solidFill>
              <a:latin typeface="+mn-lt"/>
              <a:ea typeface="+mn-ea"/>
              <a:cs typeface="+mn-cs"/>
            </a:rPr>
            <a:t> Rating</a:t>
          </a:r>
          <a:endParaRPr lang="en-IN" sz="1050" b="1">
            <a:solidFill>
              <a:schemeClr val="bg1"/>
            </a:solidFill>
            <a:latin typeface="+mn-lt"/>
            <a:ea typeface="+mn-ea"/>
            <a:cs typeface="+mn-cs"/>
          </a:endParaRPr>
        </a:p>
      </xdr:txBody>
    </xdr:sp>
    <xdr:clientData/>
  </xdr:twoCellAnchor>
  <xdr:twoCellAnchor>
    <xdr:from>
      <xdr:col>22</xdr:col>
      <xdr:colOff>418886</xdr:colOff>
      <xdr:row>12</xdr:row>
      <xdr:rowOff>35443</xdr:rowOff>
    </xdr:from>
    <xdr:to>
      <xdr:col>27</xdr:col>
      <xdr:colOff>446994</xdr:colOff>
      <xdr:row>13</xdr:row>
      <xdr:rowOff>124047</xdr:rowOff>
    </xdr:to>
    <xdr:sp macro="" textlink="">
      <xdr:nvSpPr>
        <xdr:cNvPr id="2159" name="TextBox 2158">
          <a:extLst>
            <a:ext uri="{FF2B5EF4-FFF2-40B4-BE49-F238E27FC236}">
              <a16:creationId xmlns:a16="http://schemas.microsoft.com/office/drawing/2014/main" id="{9789A40F-21FB-4997-B931-B7D411B2AF49}"/>
            </a:ext>
          </a:extLst>
        </xdr:cNvPr>
        <xdr:cNvSpPr txBox="1"/>
      </xdr:nvSpPr>
      <xdr:spPr>
        <a:xfrm>
          <a:off x="15107093" y="2084960"/>
          <a:ext cx="1972522" cy="259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E5B244"/>
              </a:solidFill>
              <a:latin typeface="+mn-lt"/>
              <a:ea typeface="+mn-ea"/>
              <a:cs typeface="+mn-cs"/>
            </a:rPr>
            <a:t>Performance</a:t>
          </a:r>
          <a:r>
            <a:rPr lang="en-US" sz="1600" b="1" baseline="0">
              <a:solidFill>
                <a:srgbClr val="E5B244"/>
              </a:solidFill>
              <a:latin typeface="+mn-lt"/>
              <a:ea typeface="+mn-ea"/>
              <a:cs typeface="+mn-cs"/>
            </a:rPr>
            <a:t> Rating</a:t>
          </a:r>
          <a:endParaRPr lang="en-IN" sz="1600" b="1">
            <a:solidFill>
              <a:srgbClr val="E5B244"/>
            </a:solidFill>
            <a:latin typeface="+mn-lt"/>
            <a:ea typeface="+mn-ea"/>
            <a:cs typeface="+mn-cs"/>
          </a:endParaRPr>
        </a:p>
      </xdr:txBody>
    </xdr:sp>
    <xdr:clientData/>
  </xdr:twoCellAnchor>
  <xdr:twoCellAnchor>
    <xdr:from>
      <xdr:col>22</xdr:col>
      <xdr:colOff>257547</xdr:colOff>
      <xdr:row>13</xdr:row>
      <xdr:rowOff>78441</xdr:rowOff>
    </xdr:from>
    <xdr:to>
      <xdr:col>27</xdr:col>
      <xdr:colOff>294198</xdr:colOff>
      <xdr:row>14</xdr:row>
      <xdr:rowOff>89137</xdr:rowOff>
    </xdr:to>
    <xdr:sp macro="" textlink="">
      <xdr:nvSpPr>
        <xdr:cNvPr id="2160" name="TextBox 2159">
          <a:extLst>
            <a:ext uri="{FF2B5EF4-FFF2-40B4-BE49-F238E27FC236}">
              <a16:creationId xmlns:a16="http://schemas.microsoft.com/office/drawing/2014/main" id="{8F80AB20-C533-4909-A22C-6217A71E77CB}"/>
            </a:ext>
          </a:extLst>
        </xdr:cNvPr>
        <xdr:cNvSpPr txBox="1"/>
      </xdr:nvSpPr>
      <xdr:spPr>
        <a:xfrm>
          <a:off x="14945754" y="2298751"/>
          <a:ext cx="1981065" cy="181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b="1">
              <a:solidFill>
                <a:schemeClr val="bg2">
                  <a:lumMod val="90000"/>
                </a:schemeClr>
              </a:solidFill>
              <a:latin typeface="Dubai" panose="020B0503030403030204" pitchFamily="34" charset="-78"/>
              <a:ea typeface="+mn-ea"/>
              <a:cs typeface="Dubai" panose="020B0503030403030204" pitchFamily="34" charset="-78"/>
            </a:rPr>
            <a:t>Average</a:t>
          </a:r>
          <a:r>
            <a:rPr lang="en-IN" sz="1000" b="1" baseline="0">
              <a:solidFill>
                <a:schemeClr val="bg2">
                  <a:lumMod val="90000"/>
                </a:schemeClr>
              </a:solidFill>
              <a:latin typeface="Dubai" panose="020B0503030403030204" pitchFamily="34" charset="-78"/>
              <a:ea typeface="+mn-ea"/>
              <a:cs typeface="Dubai" panose="020B0503030403030204" pitchFamily="34" charset="-78"/>
            </a:rPr>
            <a:t> Performance Rating</a:t>
          </a:r>
          <a:endParaRPr lang="en-IN" sz="1000" b="1">
            <a:solidFill>
              <a:schemeClr val="bg2">
                <a:lumMod val="90000"/>
              </a:schemeClr>
            </a:solidFill>
            <a:latin typeface="Dubai" panose="020B0503030403030204" pitchFamily="34" charset="-78"/>
            <a:ea typeface="+mn-ea"/>
            <a:cs typeface="Dubai" panose="020B0503030403030204" pitchFamily="34" charset="-78"/>
          </a:endParaRPr>
        </a:p>
      </xdr:txBody>
    </xdr:sp>
    <xdr:clientData/>
  </xdr:twoCellAnchor>
  <xdr:twoCellAnchor editAs="oneCell">
    <xdr:from>
      <xdr:col>24</xdr:col>
      <xdr:colOff>538954</xdr:colOff>
      <xdr:row>13</xdr:row>
      <xdr:rowOff>8291</xdr:rowOff>
    </xdr:from>
    <xdr:to>
      <xdr:col>27</xdr:col>
      <xdr:colOff>1041609</xdr:colOff>
      <xdr:row>19</xdr:row>
      <xdr:rowOff>136506</xdr:rowOff>
    </xdr:to>
    <xdr:pic>
      <xdr:nvPicPr>
        <xdr:cNvPr id="30" name="Picture 29">
          <a:extLst>
            <a:ext uri="{FF2B5EF4-FFF2-40B4-BE49-F238E27FC236}">
              <a16:creationId xmlns:a16="http://schemas.microsoft.com/office/drawing/2014/main" id="{0E8BBF80-FD7B-80E1-BA43-C43DF150552F}"/>
            </a:ext>
          </a:extLst>
        </xdr:cNvPr>
        <xdr:cNvPicPr>
          <a:picLocks noChangeAspect="1"/>
        </xdr:cNvPicPr>
      </xdr:nvPicPr>
      <xdr:blipFill>
        <a:blip xmlns:r="http://schemas.openxmlformats.org/officeDocument/2006/relationships" r:embed="rId12"/>
        <a:stretch>
          <a:fillRect/>
        </a:stretch>
      </xdr:blipFill>
      <xdr:spPr>
        <a:xfrm>
          <a:off x="16435851" y="2228601"/>
          <a:ext cx="1238379" cy="1152974"/>
        </a:xfrm>
        <a:prstGeom prst="rect">
          <a:avLst/>
        </a:prstGeom>
      </xdr:spPr>
    </xdr:pic>
    <xdr:clientData/>
  </xdr:twoCellAnchor>
  <xdr:twoCellAnchor>
    <xdr:from>
      <xdr:col>17</xdr:col>
      <xdr:colOff>534240</xdr:colOff>
      <xdr:row>36</xdr:row>
      <xdr:rowOff>153679</xdr:rowOff>
    </xdr:from>
    <xdr:to>
      <xdr:col>18</xdr:col>
      <xdr:colOff>45155</xdr:colOff>
      <xdr:row>37</xdr:row>
      <xdr:rowOff>99315</xdr:rowOff>
    </xdr:to>
    <xdr:sp macro="" textlink="">
      <xdr:nvSpPr>
        <xdr:cNvPr id="31" name="Oval 30">
          <a:extLst>
            <a:ext uri="{FF2B5EF4-FFF2-40B4-BE49-F238E27FC236}">
              <a16:creationId xmlns:a16="http://schemas.microsoft.com/office/drawing/2014/main" id="{746FA0FB-47AF-4BA0-BEE0-586182789063}"/>
            </a:ext>
          </a:extLst>
        </xdr:cNvPr>
        <xdr:cNvSpPr/>
      </xdr:nvSpPr>
      <xdr:spPr>
        <a:xfrm>
          <a:off x="12200723" y="6302231"/>
          <a:ext cx="115260" cy="11642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512199</xdr:colOff>
      <xdr:row>33</xdr:row>
      <xdr:rowOff>80179</xdr:rowOff>
    </xdr:from>
    <xdr:to>
      <xdr:col>23</xdr:col>
      <xdr:colOff>87854</xdr:colOff>
      <xdr:row>34</xdr:row>
      <xdr:rowOff>85293</xdr:rowOff>
    </xdr:to>
    <xdr:sp macro="" textlink="">
      <xdr:nvSpPr>
        <xdr:cNvPr id="47" name="Oval 46">
          <a:extLst>
            <a:ext uri="{FF2B5EF4-FFF2-40B4-BE49-F238E27FC236}">
              <a16:creationId xmlns:a16="http://schemas.microsoft.com/office/drawing/2014/main" id="{4EF58F6A-78DD-464D-B230-E6B5FC01E62E}"/>
            </a:ext>
          </a:extLst>
        </xdr:cNvPr>
        <xdr:cNvSpPr/>
      </xdr:nvSpPr>
      <xdr:spPr>
        <a:xfrm>
          <a:off x="15200406" y="5716351"/>
          <a:ext cx="180000" cy="175908"/>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328481</xdr:colOff>
      <xdr:row>12</xdr:row>
      <xdr:rowOff>102761</xdr:rowOff>
    </xdr:from>
    <xdr:to>
      <xdr:col>22</xdr:col>
      <xdr:colOff>461430</xdr:colOff>
      <xdr:row>13</xdr:row>
      <xdr:rowOff>55830</xdr:rowOff>
    </xdr:to>
    <xdr:sp macro="" textlink="">
      <xdr:nvSpPr>
        <xdr:cNvPr id="48" name="Oval 47">
          <a:extLst>
            <a:ext uri="{FF2B5EF4-FFF2-40B4-BE49-F238E27FC236}">
              <a16:creationId xmlns:a16="http://schemas.microsoft.com/office/drawing/2014/main" id="{E3A9EBDB-4417-46C4-A3DF-36198F2082FB}"/>
            </a:ext>
          </a:extLst>
        </xdr:cNvPr>
        <xdr:cNvSpPr/>
      </xdr:nvSpPr>
      <xdr:spPr>
        <a:xfrm rot="20688749">
          <a:off x="15016688" y="2152278"/>
          <a:ext cx="132949" cy="123862"/>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4194</xdr:colOff>
      <xdr:row>20</xdr:row>
      <xdr:rowOff>22439</xdr:rowOff>
    </xdr:from>
    <xdr:to>
      <xdr:col>18</xdr:col>
      <xdr:colOff>152610</xdr:colOff>
      <xdr:row>21</xdr:row>
      <xdr:rowOff>22419</xdr:rowOff>
    </xdr:to>
    <xdr:sp macro="" textlink="">
      <xdr:nvSpPr>
        <xdr:cNvPr id="49" name="Oval 48">
          <a:extLst>
            <a:ext uri="{FF2B5EF4-FFF2-40B4-BE49-F238E27FC236}">
              <a16:creationId xmlns:a16="http://schemas.microsoft.com/office/drawing/2014/main" id="{4F080137-8952-45AD-8834-E36AF887E4AB}"/>
            </a:ext>
          </a:extLst>
        </xdr:cNvPr>
        <xdr:cNvSpPr/>
      </xdr:nvSpPr>
      <xdr:spPr>
        <a:xfrm rot="20688749">
          <a:off x="12275022" y="3438301"/>
          <a:ext cx="148416" cy="17077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435234</xdr:colOff>
      <xdr:row>23</xdr:row>
      <xdr:rowOff>67228</xdr:rowOff>
    </xdr:from>
    <xdr:to>
      <xdr:col>22</xdr:col>
      <xdr:colOff>579234</xdr:colOff>
      <xdr:row>24</xdr:row>
      <xdr:rowOff>34019</xdr:rowOff>
    </xdr:to>
    <xdr:sp macro="" textlink="">
      <xdr:nvSpPr>
        <xdr:cNvPr id="50" name="Oval 49">
          <a:extLst>
            <a:ext uri="{FF2B5EF4-FFF2-40B4-BE49-F238E27FC236}">
              <a16:creationId xmlns:a16="http://schemas.microsoft.com/office/drawing/2014/main" id="{4EA41366-7DD8-4F6E-9B21-8BAED1EB30B4}"/>
            </a:ext>
          </a:extLst>
        </xdr:cNvPr>
        <xdr:cNvSpPr/>
      </xdr:nvSpPr>
      <xdr:spPr>
        <a:xfrm rot="20688749">
          <a:off x="15123441" y="3995469"/>
          <a:ext cx="144000" cy="137584"/>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389873</xdr:colOff>
      <xdr:row>36</xdr:row>
      <xdr:rowOff>109307</xdr:rowOff>
    </xdr:from>
    <xdr:to>
      <xdr:col>12</xdr:col>
      <xdr:colOff>505133</xdr:colOff>
      <xdr:row>37</xdr:row>
      <xdr:rowOff>54943</xdr:rowOff>
    </xdr:to>
    <xdr:sp macro="" textlink="">
      <xdr:nvSpPr>
        <xdr:cNvPr id="51" name="Oval 50">
          <a:extLst>
            <a:ext uri="{FF2B5EF4-FFF2-40B4-BE49-F238E27FC236}">
              <a16:creationId xmlns:a16="http://schemas.microsoft.com/office/drawing/2014/main" id="{67E97A3B-8EAC-4D28-9FAB-A73F08E29FE5}"/>
            </a:ext>
          </a:extLst>
        </xdr:cNvPr>
        <xdr:cNvSpPr/>
      </xdr:nvSpPr>
      <xdr:spPr>
        <a:xfrm>
          <a:off x="9034632" y="6257859"/>
          <a:ext cx="115260" cy="11642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307804</xdr:colOff>
      <xdr:row>38</xdr:row>
      <xdr:rowOff>146639</xdr:rowOff>
    </xdr:from>
    <xdr:to>
      <xdr:col>8</xdr:col>
      <xdr:colOff>462018</xdr:colOff>
      <xdr:row>39</xdr:row>
      <xdr:rowOff>127000</xdr:rowOff>
    </xdr:to>
    <xdr:sp macro="" textlink="">
      <xdr:nvSpPr>
        <xdr:cNvPr id="52" name="Oval 51">
          <a:extLst>
            <a:ext uri="{FF2B5EF4-FFF2-40B4-BE49-F238E27FC236}">
              <a16:creationId xmlns:a16="http://schemas.microsoft.com/office/drawing/2014/main" id="{B91476C8-2392-419F-93B5-872EA1F0A7BF}"/>
            </a:ext>
          </a:extLst>
        </xdr:cNvPr>
        <xdr:cNvSpPr/>
      </xdr:nvSpPr>
      <xdr:spPr>
        <a:xfrm>
          <a:off x="6377528" y="6636777"/>
          <a:ext cx="154214" cy="151154"/>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199723</xdr:colOff>
      <xdr:row>20</xdr:row>
      <xdr:rowOff>68238</xdr:rowOff>
    </xdr:from>
    <xdr:to>
      <xdr:col>12</xdr:col>
      <xdr:colOff>368058</xdr:colOff>
      <xdr:row>21</xdr:row>
      <xdr:rowOff>90985</xdr:rowOff>
    </xdr:to>
    <xdr:sp macro="" textlink="">
      <xdr:nvSpPr>
        <xdr:cNvPr id="53" name="Oval 52">
          <a:extLst>
            <a:ext uri="{FF2B5EF4-FFF2-40B4-BE49-F238E27FC236}">
              <a16:creationId xmlns:a16="http://schemas.microsoft.com/office/drawing/2014/main" id="{7AD686AB-ED76-4545-801B-AD13DB473C82}"/>
            </a:ext>
          </a:extLst>
        </xdr:cNvPr>
        <xdr:cNvSpPr/>
      </xdr:nvSpPr>
      <xdr:spPr>
        <a:xfrm>
          <a:off x="8844482" y="3484100"/>
          <a:ext cx="168335" cy="19354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292667</xdr:colOff>
      <xdr:row>29</xdr:row>
      <xdr:rowOff>19889</xdr:rowOff>
    </xdr:from>
    <xdr:to>
      <xdr:col>8</xdr:col>
      <xdr:colOff>425616</xdr:colOff>
      <xdr:row>29</xdr:row>
      <xdr:rowOff>147392</xdr:rowOff>
    </xdr:to>
    <xdr:sp macro="" textlink="">
      <xdr:nvSpPr>
        <xdr:cNvPr id="54" name="Oval 53">
          <a:extLst>
            <a:ext uri="{FF2B5EF4-FFF2-40B4-BE49-F238E27FC236}">
              <a16:creationId xmlns:a16="http://schemas.microsoft.com/office/drawing/2014/main" id="{15B8FAE3-C6BE-44CF-A67A-DBBC9E469E61}"/>
            </a:ext>
          </a:extLst>
        </xdr:cNvPr>
        <xdr:cNvSpPr/>
      </xdr:nvSpPr>
      <xdr:spPr>
        <a:xfrm rot="20688749">
          <a:off x="6362391" y="4972889"/>
          <a:ext cx="132949" cy="12750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8</xdr:col>
      <xdr:colOff>325717</xdr:colOff>
      <xdr:row>30</xdr:row>
      <xdr:rowOff>98843</xdr:rowOff>
    </xdr:from>
    <xdr:to>
      <xdr:col>8</xdr:col>
      <xdr:colOff>458666</xdr:colOff>
      <xdr:row>31</xdr:row>
      <xdr:rowOff>51912</xdr:rowOff>
    </xdr:to>
    <xdr:sp macro="" textlink="">
      <xdr:nvSpPr>
        <xdr:cNvPr id="55" name="Oval 54">
          <a:extLst>
            <a:ext uri="{FF2B5EF4-FFF2-40B4-BE49-F238E27FC236}">
              <a16:creationId xmlns:a16="http://schemas.microsoft.com/office/drawing/2014/main" id="{2BD5025E-9247-4D82-A064-4CF174A48AEF}"/>
            </a:ext>
          </a:extLst>
        </xdr:cNvPr>
        <xdr:cNvSpPr/>
      </xdr:nvSpPr>
      <xdr:spPr>
        <a:xfrm rot="20688749">
          <a:off x="6395441" y="5222636"/>
          <a:ext cx="132949" cy="123862"/>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8</xdr:col>
      <xdr:colOff>329392</xdr:colOff>
      <xdr:row>34</xdr:row>
      <xdr:rowOff>39447</xdr:rowOff>
    </xdr:from>
    <xdr:to>
      <xdr:col>8</xdr:col>
      <xdr:colOff>462341</xdr:colOff>
      <xdr:row>34</xdr:row>
      <xdr:rowOff>166950</xdr:rowOff>
    </xdr:to>
    <xdr:sp macro="" textlink="">
      <xdr:nvSpPr>
        <xdr:cNvPr id="58" name="Oval 57">
          <a:extLst>
            <a:ext uri="{FF2B5EF4-FFF2-40B4-BE49-F238E27FC236}">
              <a16:creationId xmlns:a16="http://schemas.microsoft.com/office/drawing/2014/main" id="{ADE1EB24-2687-4284-828E-49FAD6A2700F}"/>
            </a:ext>
          </a:extLst>
        </xdr:cNvPr>
        <xdr:cNvSpPr/>
      </xdr:nvSpPr>
      <xdr:spPr>
        <a:xfrm rot="20688749">
          <a:off x="6399116" y="5846413"/>
          <a:ext cx="132949" cy="12750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8</xdr:col>
      <xdr:colOff>337314</xdr:colOff>
      <xdr:row>32</xdr:row>
      <xdr:rowOff>55085</xdr:rowOff>
    </xdr:from>
    <xdr:to>
      <xdr:col>8</xdr:col>
      <xdr:colOff>470263</xdr:colOff>
      <xdr:row>33</xdr:row>
      <xdr:rowOff>8155</xdr:rowOff>
    </xdr:to>
    <xdr:sp macro="" textlink="">
      <xdr:nvSpPr>
        <xdr:cNvPr id="59" name="Oval 58">
          <a:extLst>
            <a:ext uri="{FF2B5EF4-FFF2-40B4-BE49-F238E27FC236}">
              <a16:creationId xmlns:a16="http://schemas.microsoft.com/office/drawing/2014/main" id="{636028A1-E4C9-4260-BDE2-520E4B547369}"/>
            </a:ext>
          </a:extLst>
        </xdr:cNvPr>
        <xdr:cNvSpPr/>
      </xdr:nvSpPr>
      <xdr:spPr>
        <a:xfrm rot="20688749">
          <a:off x="6407038" y="5520464"/>
          <a:ext cx="132949" cy="12386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8</xdr:col>
      <xdr:colOff>292669</xdr:colOff>
      <xdr:row>36</xdr:row>
      <xdr:rowOff>2723</xdr:rowOff>
    </xdr:from>
    <xdr:to>
      <xdr:col>8</xdr:col>
      <xdr:colOff>425618</xdr:colOff>
      <xdr:row>36</xdr:row>
      <xdr:rowOff>130226</xdr:rowOff>
    </xdr:to>
    <xdr:sp macro="" textlink="">
      <xdr:nvSpPr>
        <xdr:cNvPr id="60" name="Oval 59">
          <a:extLst>
            <a:ext uri="{FF2B5EF4-FFF2-40B4-BE49-F238E27FC236}">
              <a16:creationId xmlns:a16="http://schemas.microsoft.com/office/drawing/2014/main" id="{37B08026-4EA4-43B7-9C5F-3060F210B133}"/>
            </a:ext>
          </a:extLst>
        </xdr:cNvPr>
        <xdr:cNvSpPr/>
      </xdr:nvSpPr>
      <xdr:spPr>
        <a:xfrm rot="20688749">
          <a:off x="6362393" y="6151275"/>
          <a:ext cx="132949" cy="12750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8</xdr:col>
      <xdr:colOff>280996</xdr:colOff>
      <xdr:row>25</xdr:row>
      <xdr:rowOff>102357</xdr:rowOff>
    </xdr:from>
    <xdr:to>
      <xdr:col>8</xdr:col>
      <xdr:colOff>295987</xdr:colOff>
      <xdr:row>28</xdr:row>
      <xdr:rowOff>97445</xdr:rowOff>
    </xdr:to>
    <xdr:cxnSp macro="">
      <xdr:nvCxnSpPr>
        <xdr:cNvPr id="62" name="Straight Connector 61">
          <a:extLst>
            <a:ext uri="{FF2B5EF4-FFF2-40B4-BE49-F238E27FC236}">
              <a16:creationId xmlns:a16="http://schemas.microsoft.com/office/drawing/2014/main" id="{CCC72A09-2994-EBAD-1AAC-FF5171AD005A}"/>
            </a:ext>
          </a:extLst>
        </xdr:cNvPr>
        <xdr:cNvCxnSpPr/>
      </xdr:nvCxnSpPr>
      <xdr:spPr>
        <a:xfrm>
          <a:off x="6350720" y="4372185"/>
          <a:ext cx="14991" cy="507467"/>
        </a:xfrm>
        <a:prstGeom prst="line">
          <a:avLst/>
        </a:prstGeom>
        <a:ln w="25400" cap="rnd">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8</xdr:col>
      <xdr:colOff>250654</xdr:colOff>
      <xdr:row>7</xdr:row>
      <xdr:rowOff>13606</xdr:rowOff>
    </xdr:from>
    <xdr:to>
      <xdr:col>10</xdr:col>
      <xdr:colOff>228975</xdr:colOff>
      <xdr:row>18</xdr:row>
      <xdr:rowOff>2744</xdr:rowOff>
    </xdr:to>
    <xdr:pic>
      <xdr:nvPicPr>
        <xdr:cNvPr id="2052" name="Picture 2051">
          <a:extLst>
            <a:ext uri="{FF2B5EF4-FFF2-40B4-BE49-F238E27FC236}">
              <a16:creationId xmlns:a16="http://schemas.microsoft.com/office/drawing/2014/main" id="{C66D319B-B94F-19D9-E377-EC81AC9EDA22}"/>
            </a:ext>
          </a:extLst>
        </xdr:cNvPr>
        <xdr:cNvPicPr>
          <a:picLocks noChangeAspect="1"/>
        </xdr:cNvPicPr>
      </xdr:nvPicPr>
      <xdr:blipFill>
        <a:blip xmlns:r="http://schemas.openxmlformats.org/officeDocument/2006/relationships" r:embed="rId13"/>
        <a:stretch>
          <a:fillRect/>
        </a:stretch>
      </xdr:blipFill>
      <xdr:spPr>
        <a:xfrm>
          <a:off x="6320378" y="1209158"/>
          <a:ext cx="1344666" cy="1865117"/>
        </a:xfrm>
        <a:prstGeom prst="rect">
          <a:avLst/>
        </a:prstGeom>
      </xdr:spPr>
    </xdr:pic>
    <xdr:clientData/>
  </xdr:twoCellAnchor>
  <xdr:twoCellAnchor>
    <xdr:from>
      <xdr:col>10</xdr:col>
      <xdr:colOff>208227</xdr:colOff>
      <xdr:row>8</xdr:row>
      <xdr:rowOff>87442</xdr:rowOff>
    </xdr:from>
    <xdr:to>
      <xdr:col>11</xdr:col>
      <xdr:colOff>518410</xdr:colOff>
      <xdr:row>13</xdr:row>
      <xdr:rowOff>62460</xdr:rowOff>
    </xdr:to>
    <xdr:sp macro="" textlink="">
      <xdr:nvSpPr>
        <xdr:cNvPr id="2054" name="TextBox 2053">
          <a:extLst>
            <a:ext uri="{FF2B5EF4-FFF2-40B4-BE49-F238E27FC236}">
              <a16:creationId xmlns:a16="http://schemas.microsoft.com/office/drawing/2014/main" id="{6920D571-F9ED-40F3-89C7-AE24967BD016}"/>
            </a:ext>
          </a:extLst>
        </xdr:cNvPr>
        <xdr:cNvSpPr txBox="1"/>
      </xdr:nvSpPr>
      <xdr:spPr>
        <a:xfrm>
          <a:off x="7644296" y="1453787"/>
          <a:ext cx="914528" cy="828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a:solidFill>
                <a:srgbClr val="E5B244"/>
              </a:solidFill>
              <a:latin typeface="+mn-lt"/>
              <a:ea typeface="+mn-ea"/>
              <a:cs typeface="+mn-cs"/>
            </a:rPr>
            <a:t>HR</a:t>
          </a:r>
          <a:endParaRPr lang="en-IN" sz="4000" b="1">
            <a:solidFill>
              <a:srgbClr val="E5B244"/>
            </a:solidFill>
            <a:latin typeface="+mn-lt"/>
            <a:ea typeface="+mn-ea"/>
            <a:cs typeface="+mn-cs"/>
          </a:endParaRPr>
        </a:p>
      </xdr:txBody>
    </xdr:sp>
    <xdr:clientData/>
  </xdr:twoCellAnchor>
  <xdr:twoCellAnchor>
    <xdr:from>
      <xdr:col>10</xdr:col>
      <xdr:colOff>234329</xdr:colOff>
      <xdr:row>12</xdr:row>
      <xdr:rowOff>71594</xdr:rowOff>
    </xdr:from>
    <xdr:to>
      <xdr:col>13</xdr:col>
      <xdr:colOff>172947</xdr:colOff>
      <xdr:row>15</xdr:row>
      <xdr:rowOff>124917</xdr:rowOff>
    </xdr:to>
    <xdr:sp macro="" textlink="">
      <xdr:nvSpPr>
        <xdr:cNvPr id="2055" name="TextBox 2054">
          <a:extLst>
            <a:ext uri="{FF2B5EF4-FFF2-40B4-BE49-F238E27FC236}">
              <a16:creationId xmlns:a16="http://schemas.microsoft.com/office/drawing/2014/main" id="{09795214-B574-4426-A4C7-70907024626E}"/>
            </a:ext>
          </a:extLst>
        </xdr:cNvPr>
        <xdr:cNvSpPr txBox="1"/>
      </xdr:nvSpPr>
      <xdr:spPr>
        <a:xfrm>
          <a:off x="7670398" y="2121111"/>
          <a:ext cx="1751652" cy="565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rgbClr val="E5B244"/>
              </a:solidFill>
              <a:latin typeface="+mn-lt"/>
              <a:ea typeface="+mn-ea"/>
              <a:cs typeface="+mn-cs"/>
            </a:rPr>
            <a:t>Dashboard</a:t>
          </a:r>
          <a:endParaRPr lang="en-IN" sz="2400" b="1">
            <a:solidFill>
              <a:srgbClr val="E5B244"/>
            </a:solidFill>
            <a:latin typeface="+mn-lt"/>
            <a:ea typeface="+mn-ea"/>
            <a:cs typeface="+mn-cs"/>
          </a:endParaRPr>
        </a:p>
      </xdr:txBody>
    </xdr:sp>
    <xdr:clientData/>
  </xdr:twoCellAnchor>
  <xdr:twoCellAnchor>
    <xdr:from>
      <xdr:col>10</xdr:col>
      <xdr:colOff>319940</xdr:colOff>
      <xdr:row>14</xdr:row>
      <xdr:rowOff>128836</xdr:rowOff>
    </xdr:from>
    <xdr:to>
      <xdr:col>17</xdr:col>
      <xdr:colOff>105987</xdr:colOff>
      <xdr:row>17</xdr:row>
      <xdr:rowOff>42050</xdr:rowOff>
    </xdr:to>
    <xdr:sp macro="" textlink="">
      <xdr:nvSpPr>
        <xdr:cNvPr id="2056" name="TextBox 2055">
          <a:extLst>
            <a:ext uri="{FF2B5EF4-FFF2-40B4-BE49-F238E27FC236}">
              <a16:creationId xmlns:a16="http://schemas.microsoft.com/office/drawing/2014/main" id="{C4608E32-DF20-4554-93EC-012847EAE235}"/>
            </a:ext>
          </a:extLst>
        </xdr:cNvPr>
        <xdr:cNvSpPr txBox="1"/>
      </xdr:nvSpPr>
      <xdr:spPr>
        <a:xfrm>
          <a:off x="7756009" y="2519939"/>
          <a:ext cx="4016461" cy="42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baseline="0">
              <a:solidFill>
                <a:schemeClr val="bg2">
                  <a:lumMod val="90000"/>
                </a:schemeClr>
              </a:solidFill>
              <a:latin typeface="Dubai" panose="020B0503030403030204" pitchFamily="34" charset="-78"/>
              <a:ea typeface="+mn-ea"/>
              <a:cs typeface="Dubai" panose="020B0503030403030204" pitchFamily="34" charset="-78"/>
            </a:rPr>
            <a:t>Analyze</a:t>
          </a:r>
          <a:r>
            <a:rPr lang="en-US" sz="3600" b="1" baseline="0">
              <a:solidFill>
                <a:srgbClr val="E5B244"/>
              </a:solidFill>
              <a:latin typeface="+mn-lt"/>
              <a:ea typeface="+mn-ea"/>
              <a:cs typeface="+mn-cs"/>
            </a:rPr>
            <a:t> </a:t>
          </a:r>
          <a:r>
            <a:rPr lang="en-US" sz="1600" b="1" baseline="0">
              <a:solidFill>
                <a:schemeClr val="bg2">
                  <a:lumMod val="90000"/>
                </a:schemeClr>
              </a:solidFill>
              <a:latin typeface="Dubai" panose="020B0503030403030204" pitchFamily="34" charset="-78"/>
              <a:ea typeface="+mn-ea"/>
              <a:cs typeface="Dubai" panose="020B0503030403030204" pitchFamily="34" charset="-78"/>
            </a:rPr>
            <a:t>and</a:t>
          </a:r>
          <a:r>
            <a:rPr lang="en-US" sz="3600" b="1" baseline="0">
              <a:solidFill>
                <a:srgbClr val="E5B244"/>
              </a:solidFill>
              <a:latin typeface="+mn-lt"/>
              <a:ea typeface="+mn-ea"/>
              <a:cs typeface="+mn-cs"/>
            </a:rPr>
            <a:t> </a:t>
          </a:r>
          <a:r>
            <a:rPr lang="en-US" sz="1600" b="1" baseline="0">
              <a:solidFill>
                <a:schemeClr val="bg2">
                  <a:lumMod val="90000"/>
                </a:schemeClr>
              </a:solidFill>
              <a:latin typeface="Dubai" panose="020B0503030403030204" pitchFamily="34" charset="-78"/>
              <a:ea typeface="+mn-ea"/>
              <a:cs typeface="Dubai" panose="020B0503030403030204" pitchFamily="34" charset="-78"/>
            </a:rPr>
            <a:t>monitor</a:t>
          </a:r>
          <a:r>
            <a:rPr lang="en-US" sz="3600" b="1" baseline="0">
              <a:solidFill>
                <a:srgbClr val="E5B244"/>
              </a:solidFill>
              <a:latin typeface="+mn-lt"/>
              <a:ea typeface="+mn-ea"/>
              <a:cs typeface="+mn-cs"/>
            </a:rPr>
            <a:t> </a:t>
          </a:r>
          <a:r>
            <a:rPr lang="en-US" sz="1600" b="1" baseline="0">
              <a:solidFill>
                <a:schemeClr val="bg2">
                  <a:lumMod val="90000"/>
                </a:schemeClr>
              </a:solidFill>
              <a:latin typeface="Dubai" panose="020B0503030403030204" pitchFamily="34" charset="-78"/>
              <a:ea typeface="+mn-ea"/>
              <a:cs typeface="Dubai" panose="020B0503030403030204" pitchFamily="34" charset="-78"/>
            </a:rPr>
            <a:t>the</a:t>
          </a:r>
          <a:r>
            <a:rPr lang="en-US" sz="3600" b="1" baseline="0">
              <a:solidFill>
                <a:srgbClr val="E5B244"/>
              </a:solidFill>
              <a:latin typeface="+mn-lt"/>
              <a:ea typeface="+mn-ea"/>
              <a:cs typeface="+mn-cs"/>
            </a:rPr>
            <a:t> </a:t>
          </a:r>
          <a:r>
            <a:rPr lang="en-US" sz="1600" b="1" baseline="0">
              <a:solidFill>
                <a:schemeClr val="bg2">
                  <a:lumMod val="90000"/>
                </a:schemeClr>
              </a:solidFill>
              <a:latin typeface="Dubai" panose="020B0503030403030204" pitchFamily="34" charset="-78"/>
              <a:ea typeface="+mn-ea"/>
              <a:cs typeface="Dubai" panose="020B0503030403030204" pitchFamily="34" charset="-78"/>
            </a:rPr>
            <a:t>HR</a:t>
          </a:r>
          <a:r>
            <a:rPr lang="en-US" sz="3600" b="1" baseline="0">
              <a:solidFill>
                <a:srgbClr val="E5B244"/>
              </a:solidFill>
              <a:latin typeface="+mn-lt"/>
              <a:ea typeface="+mn-ea"/>
              <a:cs typeface="+mn-cs"/>
            </a:rPr>
            <a:t> </a:t>
          </a:r>
          <a:r>
            <a:rPr lang="en-US" sz="1800" b="1" baseline="0">
              <a:solidFill>
                <a:schemeClr val="bg2">
                  <a:lumMod val="90000"/>
                </a:schemeClr>
              </a:solidFill>
              <a:latin typeface="Dubai" panose="020B0503030403030204" pitchFamily="34" charset="-78"/>
              <a:ea typeface="+mn-ea"/>
              <a:cs typeface="Dubai" panose="020B0503030403030204" pitchFamily="34" charset="-78"/>
            </a:rPr>
            <a:t>department</a:t>
          </a:r>
          <a:endParaRPr lang="en-IN" sz="1600" b="1" baseline="0">
            <a:solidFill>
              <a:schemeClr val="bg2">
                <a:lumMod val="90000"/>
              </a:schemeClr>
            </a:solidFill>
            <a:latin typeface="Dubai" panose="020B0503030403030204" pitchFamily="34" charset="-78"/>
            <a:ea typeface="+mn-ea"/>
            <a:cs typeface="Dubai" panose="020B0503030403030204" pitchFamily="34" charset="-78"/>
          </a:endParaRPr>
        </a:p>
      </xdr:txBody>
    </xdr:sp>
    <xdr:clientData/>
  </xdr:twoCellAnchor>
  <xdr:twoCellAnchor editAs="oneCell">
    <xdr:from>
      <xdr:col>13</xdr:col>
      <xdr:colOff>327531</xdr:colOff>
      <xdr:row>11</xdr:row>
      <xdr:rowOff>63414</xdr:rowOff>
    </xdr:from>
    <xdr:to>
      <xdr:col>16</xdr:col>
      <xdr:colOff>393552</xdr:colOff>
      <xdr:row>14</xdr:row>
      <xdr:rowOff>155336</xdr:rowOff>
    </xdr:to>
    <mc:AlternateContent xmlns:mc="http://schemas.openxmlformats.org/markup-compatibility/2006" xmlns:a14="http://schemas.microsoft.com/office/drawing/2010/main">
      <mc:Choice Requires="a14">
        <xdr:graphicFrame macro="">
          <xdr:nvGraphicFramePr>
            <xdr:cNvPr id="2062" name="Gender">
              <a:extLst>
                <a:ext uri="{FF2B5EF4-FFF2-40B4-BE49-F238E27FC236}">
                  <a16:creationId xmlns:a16="http://schemas.microsoft.com/office/drawing/2014/main" id="{67A1C95D-293C-469B-B0AE-D19730035B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00320" y="1952315"/>
              <a:ext cx="1901260" cy="607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17178</xdr:colOff>
      <xdr:row>10</xdr:row>
      <xdr:rowOff>99799</xdr:rowOff>
    </xdr:from>
    <xdr:to>
      <xdr:col>22</xdr:col>
      <xdr:colOff>125359</xdr:colOff>
      <xdr:row>16</xdr:row>
      <xdr:rowOff>113313</xdr:rowOff>
    </xdr:to>
    <mc:AlternateContent xmlns:mc="http://schemas.openxmlformats.org/markup-compatibility/2006" xmlns:a14="http://schemas.microsoft.com/office/drawing/2010/main">
      <mc:Choice Requires="a14">
        <xdr:graphicFrame macro="">
          <xdr:nvGraphicFramePr>
            <xdr:cNvPr id="2075" name="Department">
              <a:extLst>
                <a:ext uri="{FF2B5EF4-FFF2-40B4-BE49-F238E27FC236}">
                  <a16:creationId xmlns:a16="http://schemas.microsoft.com/office/drawing/2014/main" id="{2E9F1BAE-4B5F-41B5-9F76-DAE0889403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736953" y="1816982"/>
              <a:ext cx="3166913" cy="1043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255068</xdr:colOff>
      <xdr:row>10</xdr:row>
      <xdr:rowOff>37171</xdr:rowOff>
    </xdr:from>
    <xdr:to>
      <xdr:col>21</xdr:col>
      <xdr:colOff>114717</xdr:colOff>
      <xdr:row>12</xdr:row>
      <xdr:rowOff>83128</xdr:rowOff>
    </xdr:to>
    <xdr:sp macro="" textlink="">
      <xdr:nvSpPr>
        <xdr:cNvPr id="2076" name="TextBox 2075">
          <a:extLst>
            <a:ext uri="{FF2B5EF4-FFF2-40B4-BE49-F238E27FC236}">
              <a16:creationId xmlns:a16="http://schemas.microsoft.com/office/drawing/2014/main" id="{6CCCED5F-5E8B-4C0B-A808-6F2A794AB265}"/>
            </a:ext>
          </a:extLst>
        </xdr:cNvPr>
        <xdr:cNvSpPr txBox="1"/>
      </xdr:nvSpPr>
      <xdr:spPr>
        <a:xfrm>
          <a:off x="11921551" y="1745102"/>
          <a:ext cx="2277028" cy="387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rgbClr val="E5B244"/>
              </a:solidFill>
              <a:latin typeface="+mn-lt"/>
              <a:ea typeface="+mn-ea"/>
              <a:cs typeface="+mn-cs"/>
            </a:rPr>
            <a:t>       </a:t>
          </a:r>
          <a:r>
            <a:rPr lang="en-IN" sz="1400" b="1">
              <a:solidFill>
                <a:schemeClr val="bg1"/>
              </a:solidFill>
              <a:latin typeface="+mn-lt"/>
              <a:ea typeface="+mn-ea"/>
              <a:cs typeface="+mn-cs"/>
            </a:rPr>
            <a:t>Filter by deparment</a:t>
          </a:r>
        </a:p>
      </xdr:txBody>
    </xdr:sp>
    <xdr:clientData/>
  </xdr:twoCellAnchor>
  <xdr:twoCellAnchor>
    <xdr:from>
      <xdr:col>17</xdr:col>
      <xdr:colOff>356524</xdr:colOff>
      <xdr:row>10</xdr:row>
      <xdr:rowOff>137195</xdr:rowOff>
    </xdr:from>
    <xdr:to>
      <xdr:col>17</xdr:col>
      <xdr:colOff>517630</xdr:colOff>
      <xdr:row>11</xdr:row>
      <xdr:rowOff>104384</xdr:rowOff>
    </xdr:to>
    <xdr:sp macro="" textlink="">
      <xdr:nvSpPr>
        <xdr:cNvPr id="2079" name="Oval 2078">
          <a:extLst>
            <a:ext uri="{FF2B5EF4-FFF2-40B4-BE49-F238E27FC236}">
              <a16:creationId xmlns:a16="http://schemas.microsoft.com/office/drawing/2014/main" id="{F4A451BB-975F-4E2D-B949-7E07EB298080}"/>
            </a:ext>
          </a:extLst>
        </xdr:cNvPr>
        <xdr:cNvSpPr/>
      </xdr:nvSpPr>
      <xdr:spPr>
        <a:xfrm>
          <a:off x="12023007" y="1845126"/>
          <a:ext cx="161106" cy="137982"/>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2341</xdr:colOff>
      <xdr:row>11</xdr:row>
      <xdr:rowOff>85943</xdr:rowOff>
    </xdr:from>
    <xdr:to>
      <xdr:col>13</xdr:col>
      <xdr:colOff>102360</xdr:colOff>
      <xdr:row>12</xdr:row>
      <xdr:rowOff>20876</xdr:rowOff>
    </xdr:to>
    <xdr:sp macro="" textlink="">
      <xdr:nvSpPr>
        <xdr:cNvPr id="2080" name="Oval 2079">
          <a:extLst>
            <a:ext uri="{FF2B5EF4-FFF2-40B4-BE49-F238E27FC236}">
              <a16:creationId xmlns:a16="http://schemas.microsoft.com/office/drawing/2014/main" id="{BFB62205-EF38-425A-905C-7795DDC7FED8}"/>
            </a:ext>
          </a:extLst>
        </xdr:cNvPr>
        <xdr:cNvSpPr/>
      </xdr:nvSpPr>
      <xdr:spPr>
        <a:xfrm flipV="1">
          <a:off x="9251444" y="1964667"/>
          <a:ext cx="100019" cy="105726"/>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72099</xdr:colOff>
      <xdr:row>11</xdr:row>
      <xdr:rowOff>0</xdr:rowOff>
    </xdr:from>
    <xdr:to>
      <xdr:col>15</xdr:col>
      <xdr:colOff>357288</xdr:colOff>
      <xdr:row>12</xdr:row>
      <xdr:rowOff>124002</xdr:rowOff>
    </xdr:to>
    <xdr:sp macro="" textlink="">
      <xdr:nvSpPr>
        <xdr:cNvPr id="2091" name="TextBox 2090">
          <a:extLst>
            <a:ext uri="{FF2B5EF4-FFF2-40B4-BE49-F238E27FC236}">
              <a16:creationId xmlns:a16="http://schemas.microsoft.com/office/drawing/2014/main" id="{1887F6ED-E1CB-400C-9CE2-6AD605EA4BEE}"/>
            </a:ext>
          </a:extLst>
        </xdr:cNvPr>
        <xdr:cNvSpPr txBox="1"/>
      </xdr:nvSpPr>
      <xdr:spPr>
        <a:xfrm>
          <a:off x="9321202" y="1878724"/>
          <a:ext cx="1493879" cy="29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latin typeface="+mn-lt"/>
              <a:ea typeface="+mn-ea"/>
              <a:cs typeface="+mn-cs"/>
            </a:rPr>
            <a:t>Filter</a:t>
          </a:r>
          <a:r>
            <a:rPr lang="en-US" sz="1400" b="1" baseline="0">
              <a:solidFill>
                <a:schemeClr val="bg1"/>
              </a:solidFill>
              <a:latin typeface="+mn-lt"/>
              <a:ea typeface="+mn-ea"/>
              <a:cs typeface="+mn-cs"/>
            </a:rPr>
            <a:t> by gender</a:t>
          </a:r>
          <a:endParaRPr lang="en-IN" sz="1400" b="1">
            <a:solidFill>
              <a:schemeClr val="bg1"/>
            </a:solidFill>
            <a:latin typeface="+mn-lt"/>
            <a:ea typeface="+mn-ea"/>
            <a:cs typeface="+mn-cs"/>
          </a:endParaRPr>
        </a:p>
      </xdr:txBody>
    </xdr:sp>
    <xdr:clientData/>
  </xdr:twoCellAnchor>
  <xdr:twoCellAnchor>
    <xdr:from>
      <xdr:col>22</xdr:col>
      <xdr:colOff>408919</xdr:colOff>
      <xdr:row>14</xdr:row>
      <xdr:rowOff>119062</xdr:rowOff>
    </xdr:from>
    <xdr:to>
      <xdr:col>24</xdr:col>
      <xdr:colOff>349385</xdr:colOff>
      <xdr:row>19</xdr:row>
      <xdr:rowOff>59531</xdr:rowOff>
    </xdr:to>
    <xdr:sp macro="" textlink="Sheet3!B11">
      <xdr:nvSpPr>
        <xdr:cNvPr id="17" name="TextBox 16">
          <a:extLst>
            <a:ext uri="{FF2B5EF4-FFF2-40B4-BE49-F238E27FC236}">
              <a16:creationId xmlns:a16="http://schemas.microsoft.com/office/drawing/2014/main" id="{F0FA086E-8D96-FD3B-B49C-E1D5B1C07059}"/>
            </a:ext>
          </a:extLst>
        </xdr:cNvPr>
        <xdr:cNvSpPr txBox="1"/>
      </xdr:nvSpPr>
      <xdr:spPr>
        <a:xfrm>
          <a:off x="15097126" y="2510165"/>
          <a:ext cx="1149156" cy="79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23912D-4B24-4F98-ABC9-5B46BCF0F95D}" type="TxLink">
            <a:rPr lang="en-US" sz="6000" b="1" i="0" u="none" strike="noStrike">
              <a:solidFill>
                <a:schemeClr val="bg1"/>
              </a:solidFill>
              <a:latin typeface="Aptos Narrow"/>
            </a:rPr>
            <a:pPr/>
            <a:t>131</a:t>
          </a:fld>
          <a:endParaRPr lang="en-IN" sz="6000" b="1">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0.34031</cdr:x>
      <cdr:y>0.29508</cdr:y>
    </cdr:from>
    <cdr:to>
      <cdr:x>0.65969</cdr:x>
      <cdr:y>0.67322</cdr:y>
    </cdr:to>
    <cdr:sp macro="" textlink="PivotTables!$L$23">
      <cdr:nvSpPr>
        <cdr:cNvPr id="2" name="TextBox 2104">
          <a:extLst xmlns:a="http://schemas.openxmlformats.org/drawingml/2006/main">
            <a:ext uri="{FF2B5EF4-FFF2-40B4-BE49-F238E27FC236}">
              <a16:creationId xmlns:a16="http://schemas.microsoft.com/office/drawing/2014/main" id="{25B6F301-3670-14CF-D188-0901EB4F78D0}"/>
            </a:ext>
          </a:extLst>
        </cdr:cNvPr>
        <cdr:cNvSpPr txBox="1"/>
      </cdr:nvSpPr>
      <cdr:spPr>
        <a:xfrm xmlns:a="http://schemas.openxmlformats.org/drawingml/2006/main">
          <a:off x="538370" y="298174"/>
          <a:ext cx="505240" cy="3821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1C5FF64E-D0AD-4E2C-AE70-B2175095CC7E}" type="TxLink">
            <a:rPr lang="en-US" sz="1400" b="1" i="0" u="none" strike="noStrike">
              <a:solidFill>
                <a:schemeClr val="bg1"/>
              </a:solidFill>
              <a:latin typeface="Kulim Park"/>
            </a:rPr>
            <a:pPr algn="l"/>
            <a:t>48%</a:t>
          </a:fld>
          <a:endParaRPr lang="en-IN" sz="1200" b="1">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0.34545</cdr:x>
      <cdr:y>0.31304</cdr:y>
    </cdr:from>
    <cdr:to>
      <cdr:x>0.69231</cdr:x>
      <cdr:y>0.64243</cdr:y>
    </cdr:to>
    <cdr:sp macro="" textlink="PivotTables!$L$22">
      <cdr:nvSpPr>
        <cdr:cNvPr id="2" name="TextBox 2104">
          <a:extLst xmlns:a="http://schemas.openxmlformats.org/drawingml/2006/main">
            <a:ext uri="{FF2B5EF4-FFF2-40B4-BE49-F238E27FC236}">
              <a16:creationId xmlns:a16="http://schemas.microsoft.com/office/drawing/2014/main" id="{241B5648-3021-439E-B899-DF8B7ED472A9}"/>
            </a:ext>
          </a:extLst>
        </cdr:cNvPr>
        <cdr:cNvSpPr txBox="1"/>
      </cdr:nvSpPr>
      <cdr:spPr>
        <a:xfrm xmlns:a="http://schemas.openxmlformats.org/drawingml/2006/main">
          <a:off x="483541" y="298173"/>
          <a:ext cx="485524" cy="31374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C05A2141-4048-472E-8138-D2E739AA040E}" type="TxLink">
            <a:rPr lang="en-US" sz="1200" b="1" i="0" u="none" strike="noStrike">
              <a:solidFill>
                <a:schemeClr val="bg1"/>
              </a:solidFill>
              <a:latin typeface="Kulim Park"/>
            </a:rPr>
            <a:pPr algn="l"/>
            <a:t>52%</a:t>
          </a:fld>
          <a:endParaRPr lang="en-IN" sz="1100" b="1">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0.08464</cdr:x>
      <cdr:y>0.7845</cdr:y>
    </cdr:from>
    <cdr:to>
      <cdr:x>0.32729</cdr:x>
      <cdr:y>0.86727</cdr:y>
    </cdr:to>
    <cdr:sp macro="" textlink="">
      <cdr:nvSpPr>
        <cdr:cNvPr id="2" name="TextBox 2140">
          <a:extLst xmlns:a="http://schemas.openxmlformats.org/drawingml/2006/main">
            <a:ext uri="{FF2B5EF4-FFF2-40B4-BE49-F238E27FC236}">
              <a16:creationId xmlns:a16="http://schemas.microsoft.com/office/drawing/2014/main" id="{627A6E58-EC7C-4205-B25C-76733270E2F9}"/>
            </a:ext>
          </a:extLst>
        </cdr:cNvPr>
        <cdr:cNvSpPr txBox="1"/>
      </cdr:nvSpPr>
      <cdr:spPr>
        <a:xfrm xmlns:a="http://schemas.openxmlformats.org/drawingml/2006/main">
          <a:off x="219141" y="1744133"/>
          <a:ext cx="628264" cy="18402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solidFill>
                <a:schemeClr val="bg1"/>
              </a:solidFill>
            </a:rPr>
            <a:t>Analyst</a:t>
          </a:r>
        </a:p>
      </cdr:txBody>
    </cdr:sp>
  </cdr:relSizeAnchor>
  <cdr:relSizeAnchor xmlns:cdr="http://schemas.openxmlformats.org/drawingml/2006/chartDrawing">
    <cdr:from>
      <cdr:x>0.06421</cdr:x>
      <cdr:y>0.81756</cdr:y>
    </cdr:from>
    <cdr:to>
      <cdr:x>0.1094</cdr:x>
      <cdr:y>0.86819</cdr:y>
    </cdr:to>
    <cdr:sp macro="" textlink="">
      <cdr:nvSpPr>
        <cdr:cNvPr id="3" name="Oval 2">
          <a:extLst xmlns:a="http://schemas.openxmlformats.org/drawingml/2006/main">
            <a:ext uri="{FF2B5EF4-FFF2-40B4-BE49-F238E27FC236}">
              <a16:creationId xmlns:a16="http://schemas.microsoft.com/office/drawing/2014/main" id="{397792AB-795C-4B2E-840D-5BFA1FAF4EAE}"/>
            </a:ext>
          </a:extLst>
        </cdr:cNvPr>
        <cdr:cNvSpPr/>
      </cdr:nvSpPr>
      <cdr:spPr>
        <a:xfrm xmlns:a="http://schemas.openxmlformats.org/drawingml/2006/main" flipH="1">
          <a:off x="166254" y="1817628"/>
          <a:ext cx="116997" cy="112567"/>
        </a:xfrm>
        <a:prstGeom xmlns:a="http://schemas.openxmlformats.org/drawingml/2006/main" prst="ellipse">
          <a:avLst/>
        </a:prstGeom>
        <a:solidFill xmlns:a="http://schemas.openxmlformats.org/drawingml/2006/main">
          <a:srgbClr val="77933D"/>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solidFill>
              <a:schemeClr val="bg1"/>
            </a:solidFill>
          </a:endParaRPr>
        </a:p>
      </cdr:txBody>
    </cdr:sp>
  </cdr:relSizeAnchor>
  <cdr:relSizeAnchor xmlns:cdr="http://schemas.openxmlformats.org/drawingml/2006/chartDrawing">
    <cdr:from>
      <cdr:x>0.35457</cdr:x>
      <cdr:y>0.79142</cdr:y>
    </cdr:from>
    <cdr:to>
      <cdr:x>0.59348</cdr:x>
      <cdr:y>0.87269</cdr:y>
    </cdr:to>
    <cdr:sp macro="" textlink="">
      <cdr:nvSpPr>
        <cdr:cNvPr id="4" name="TextBox 2144">
          <a:extLst xmlns:a="http://schemas.openxmlformats.org/drawingml/2006/main">
            <a:ext uri="{FF2B5EF4-FFF2-40B4-BE49-F238E27FC236}">
              <a16:creationId xmlns:a16="http://schemas.microsoft.com/office/drawing/2014/main" id="{3D8C80EC-DF75-4057-A13F-31B21BEA0C73}"/>
            </a:ext>
          </a:extLst>
        </cdr:cNvPr>
        <cdr:cNvSpPr txBox="1"/>
      </cdr:nvSpPr>
      <cdr:spPr>
        <a:xfrm xmlns:a="http://schemas.openxmlformats.org/drawingml/2006/main">
          <a:off x="918056" y="1759526"/>
          <a:ext cx="618571" cy="18066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solidFill>
                <a:schemeClr val="bg1"/>
              </a:solidFill>
            </a:rPr>
            <a:t>Manger</a:t>
          </a:r>
        </a:p>
      </cdr:txBody>
    </cdr:sp>
  </cdr:relSizeAnchor>
  <cdr:relSizeAnchor xmlns:cdr="http://schemas.openxmlformats.org/drawingml/2006/chartDrawing">
    <cdr:from>
      <cdr:x>0.32581</cdr:x>
      <cdr:y>0.81606</cdr:y>
    </cdr:from>
    <cdr:to>
      <cdr:x>0.37538</cdr:x>
      <cdr:y>0.87097</cdr:y>
    </cdr:to>
    <cdr:sp macro="" textlink="">
      <cdr:nvSpPr>
        <cdr:cNvPr id="6" name="Oval 5">
          <a:extLst xmlns:a="http://schemas.openxmlformats.org/drawingml/2006/main">
            <a:ext uri="{FF2B5EF4-FFF2-40B4-BE49-F238E27FC236}">
              <a16:creationId xmlns:a16="http://schemas.microsoft.com/office/drawing/2014/main" id="{5A29BD6F-D12E-4DF7-A57E-F07525CC1487}"/>
            </a:ext>
          </a:extLst>
        </cdr:cNvPr>
        <cdr:cNvSpPr/>
      </cdr:nvSpPr>
      <cdr:spPr>
        <a:xfrm xmlns:a="http://schemas.openxmlformats.org/drawingml/2006/main" flipH="1">
          <a:off x="843588" y="1814302"/>
          <a:ext cx="128347" cy="122078"/>
        </a:xfrm>
        <a:prstGeom xmlns:a="http://schemas.openxmlformats.org/drawingml/2006/main" prst="ellipse">
          <a:avLst/>
        </a:prstGeom>
        <a:solidFill xmlns:a="http://schemas.openxmlformats.org/drawingml/2006/main">
          <a:srgbClr val="CA941C"/>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0.10294</cdr:x>
      <cdr:y>0.88765</cdr:y>
    </cdr:from>
    <cdr:to>
      <cdr:x>0.39457</cdr:x>
      <cdr:y>0.96154</cdr:y>
    </cdr:to>
    <cdr:sp macro="" textlink="">
      <cdr:nvSpPr>
        <cdr:cNvPr id="7" name="TextBox 2146">
          <a:extLst xmlns:a="http://schemas.openxmlformats.org/drawingml/2006/main">
            <a:ext uri="{FF2B5EF4-FFF2-40B4-BE49-F238E27FC236}">
              <a16:creationId xmlns:a16="http://schemas.microsoft.com/office/drawing/2014/main" id="{7EBD8247-803C-4982-B1CA-F063D183DB22}"/>
            </a:ext>
          </a:extLst>
        </cdr:cNvPr>
        <cdr:cNvSpPr txBox="1"/>
      </cdr:nvSpPr>
      <cdr:spPr>
        <a:xfrm xmlns:a="http://schemas.openxmlformats.org/drawingml/2006/main">
          <a:off x="266543" y="1973450"/>
          <a:ext cx="755084" cy="16427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solidFill>
                <a:schemeClr val="bg1"/>
              </a:solidFill>
            </a:rPr>
            <a:t>Develpoer</a:t>
          </a:r>
        </a:p>
      </cdr:txBody>
    </cdr:sp>
  </cdr:relSizeAnchor>
  <cdr:relSizeAnchor xmlns:cdr="http://schemas.openxmlformats.org/drawingml/2006/chartDrawing">
    <cdr:from>
      <cdr:x>0.05433</cdr:x>
      <cdr:y>0.90213</cdr:y>
    </cdr:from>
    <cdr:to>
      <cdr:x>0.11081</cdr:x>
      <cdr:y>0.96098</cdr:y>
    </cdr:to>
    <cdr:sp macro="" textlink="">
      <cdr:nvSpPr>
        <cdr:cNvPr id="8" name="Oval 7">
          <a:extLst xmlns:a="http://schemas.openxmlformats.org/drawingml/2006/main">
            <a:ext uri="{FF2B5EF4-FFF2-40B4-BE49-F238E27FC236}">
              <a16:creationId xmlns:a16="http://schemas.microsoft.com/office/drawing/2014/main" id="{5CD4053E-46A8-4EDA-8BE4-7B1634572E99}"/>
            </a:ext>
          </a:extLst>
        </cdr:cNvPr>
        <cdr:cNvSpPr/>
      </cdr:nvSpPr>
      <cdr:spPr>
        <a:xfrm xmlns:a="http://schemas.openxmlformats.org/drawingml/2006/main" flipH="1">
          <a:off x="140661" y="2005652"/>
          <a:ext cx="146243" cy="130848"/>
        </a:xfrm>
        <a:prstGeom xmlns:a="http://schemas.openxmlformats.org/drawingml/2006/main" prst="ellipse">
          <a:avLst/>
        </a:prstGeom>
        <a:solidFill xmlns:a="http://schemas.openxmlformats.org/drawingml/2006/main">
          <a:srgbClr val="948A54"/>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0.44434</cdr:x>
      <cdr:y>0.88836</cdr:y>
    </cdr:from>
    <cdr:to>
      <cdr:x>0.90966</cdr:x>
      <cdr:y>0.98369</cdr:y>
    </cdr:to>
    <cdr:sp macro="" textlink="">
      <cdr:nvSpPr>
        <cdr:cNvPr id="9" name="TextBox 2142">
          <a:extLst xmlns:a="http://schemas.openxmlformats.org/drawingml/2006/main">
            <a:ext uri="{FF2B5EF4-FFF2-40B4-BE49-F238E27FC236}">
              <a16:creationId xmlns:a16="http://schemas.microsoft.com/office/drawing/2014/main" id="{BF8B0FE9-BD65-4352-9334-B7000259F1CE}"/>
            </a:ext>
          </a:extLst>
        </cdr:cNvPr>
        <cdr:cNvSpPr txBox="1"/>
      </cdr:nvSpPr>
      <cdr:spPr>
        <a:xfrm xmlns:a="http://schemas.openxmlformats.org/drawingml/2006/main">
          <a:off x="1150475" y="1975042"/>
          <a:ext cx="1204801" cy="2119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solidFill>
                <a:schemeClr val="bg1"/>
              </a:solidFill>
            </a:rPr>
            <a:t>HR</a:t>
          </a:r>
          <a:r>
            <a:rPr lang="en-IN" sz="900" baseline="0">
              <a:solidFill>
                <a:schemeClr val="bg1"/>
              </a:solidFill>
            </a:rPr>
            <a:t> Specialist</a:t>
          </a:r>
          <a:endParaRPr lang="en-IN" sz="900">
            <a:solidFill>
              <a:schemeClr val="bg1"/>
            </a:solidFill>
          </a:endParaRPr>
        </a:p>
      </cdr:txBody>
    </cdr:sp>
  </cdr:relSizeAnchor>
  <cdr:relSizeAnchor xmlns:cdr="http://schemas.openxmlformats.org/drawingml/2006/chartDrawing">
    <cdr:from>
      <cdr:x>0.41499</cdr:x>
      <cdr:y>0.92013</cdr:y>
    </cdr:from>
    <cdr:to>
      <cdr:x>0.46965</cdr:x>
      <cdr:y>0.98017</cdr:y>
    </cdr:to>
    <cdr:sp macro="" textlink="">
      <cdr:nvSpPr>
        <cdr:cNvPr id="10" name="Oval 9">
          <a:extLst xmlns:a="http://schemas.openxmlformats.org/drawingml/2006/main">
            <a:ext uri="{FF2B5EF4-FFF2-40B4-BE49-F238E27FC236}">
              <a16:creationId xmlns:a16="http://schemas.microsoft.com/office/drawing/2014/main" id="{9FC9E365-A07D-4584-82A6-79AB12288A83}"/>
            </a:ext>
          </a:extLst>
        </cdr:cNvPr>
        <cdr:cNvSpPr/>
      </cdr:nvSpPr>
      <cdr:spPr>
        <a:xfrm xmlns:a="http://schemas.openxmlformats.org/drawingml/2006/main" flipH="1">
          <a:off x="1074497" y="2045663"/>
          <a:ext cx="141514" cy="133486"/>
        </a:xfrm>
        <a:prstGeom xmlns:a="http://schemas.openxmlformats.org/drawingml/2006/main" prst="ellipse">
          <a:avLst/>
        </a:prstGeom>
        <a:solidFill xmlns:a="http://schemas.openxmlformats.org/drawingml/2006/main">
          <a:srgbClr val="E5B244"/>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0.73864</cdr:x>
      <cdr:y>0.79489</cdr:y>
    </cdr:from>
    <cdr:to>
      <cdr:x>0.98129</cdr:x>
      <cdr:y>0.87766</cdr:y>
    </cdr:to>
    <cdr:sp macro="" textlink="">
      <cdr:nvSpPr>
        <cdr:cNvPr id="11" name="TextBox 2138">
          <a:extLst xmlns:a="http://schemas.openxmlformats.org/drawingml/2006/main">
            <a:ext uri="{FF2B5EF4-FFF2-40B4-BE49-F238E27FC236}">
              <a16:creationId xmlns:a16="http://schemas.microsoft.com/office/drawing/2014/main" id="{99CF6672-F291-4185-8BD8-5B3B3CDBD612}"/>
            </a:ext>
          </a:extLst>
        </cdr:cNvPr>
        <cdr:cNvSpPr txBox="1"/>
      </cdr:nvSpPr>
      <cdr:spPr>
        <a:xfrm xmlns:a="http://schemas.openxmlformats.org/drawingml/2006/main">
          <a:off x="1912474" y="1767224"/>
          <a:ext cx="628264" cy="18402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solidFill>
                <a:schemeClr val="bg1"/>
              </a:solidFill>
            </a:rPr>
            <a:t>Designer</a:t>
          </a:r>
        </a:p>
      </cdr:txBody>
    </cdr:sp>
  </cdr:relSizeAnchor>
  <cdr:relSizeAnchor xmlns:cdr="http://schemas.openxmlformats.org/drawingml/2006/chartDrawing">
    <cdr:from>
      <cdr:x>0.70335</cdr:x>
      <cdr:y>0.8141</cdr:y>
    </cdr:from>
    <cdr:to>
      <cdr:x>0.75801</cdr:x>
      <cdr:y>0.87414</cdr:y>
    </cdr:to>
    <cdr:sp macro="" textlink="">
      <cdr:nvSpPr>
        <cdr:cNvPr id="12" name="Oval 11">
          <a:extLst xmlns:a="http://schemas.openxmlformats.org/drawingml/2006/main">
            <a:ext uri="{FF2B5EF4-FFF2-40B4-BE49-F238E27FC236}">
              <a16:creationId xmlns:a16="http://schemas.microsoft.com/office/drawing/2014/main" id="{FCEDBB5A-41E8-481F-92E8-84C7129876BB}"/>
            </a:ext>
          </a:extLst>
        </cdr:cNvPr>
        <cdr:cNvSpPr/>
      </cdr:nvSpPr>
      <cdr:spPr>
        <a:xfrm xmlns:a="http://schemas.openxmlformats.org/drawingml/2006/main" flipH="1">
          <a:off x="1821103" y="1809931"/>
          <a:ext cx="141514" cy="133486"/>
        </a:xfrm>
        <a:prstGeom xmlns:a="http://schemas.openxmlformats.org/drawingml/2006/main" prst="ellipse">
          <a:avLst/>
        </a:prstGeom>
        <a:solidFill xmlns:a="http://schemas.openxmlformats.org/drawingml/2006/main">
          <a:schemeClr val="bg2">
            <a:lumMod val="5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ti More" refreshedDate="45859.902572685183" createdVersion="8" refreshedVersion="8" minRefreshableVersion="3" recordCount="50" xr:uid="{5250DF1B-3424-40F8-8586-D33226D9B359}">
  <cacheSource type="worksheet">
    <worksheetSource name="Table1"/>
  </cacheSource>
  <cacheFields count="24">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ount="50">
        <s v="2019-03-15"/>
        <s v="2022-12-20"/>
        <s v="2022-08-10"/>
        <s v="2024-09-03"/>
        <s v="2019-03-14"/>
        <s v="2017-01-23"/>
        <s v="2024-08-17"/>
        <s v="2014-12-09"/>
        <s v="2021-06-28"/>
        <s v="2018-05-20"/>
        <s v="2017-02-13"/>
        <s v="2024-05-05"/>
        <s v="2022-04-19"/>
        <s v="2015-11-16"/>
        <s v="2023-09-09"/>
        <s v="2017-12-12"/>
        <s v="2017-03-10"/>
        <s v="2019-03-04"/>
        <s v="2022-11-20"/>
        <s v="2021-03-02"/>
        <s v="2021-08-01"/>
        <s v="2015-08-14"/>
        <s v="2015-10-21"/>
        <s v="2015-03-14"/>
        <s v="2024-05-22"/>
        <s v="2017-03-19"/>
        <s v="2021-09-15"/>
        <s v="2022-05-09"/>
        <s v="2017-06-22"/>
        <s v="2020-11-28"/>
        <s v="2015-08-30"/>
        <s v="2018-10-27"/>
        <s v="2018-08-26"/>
        <s v="2023-07-24"/>
        <s v="2018-07-09"/>
        <s v="2016-12-21"/>
        <s v="2019-06-27"/>
        <s v="2021-08-27"/>
        <s v="2017-05-28"/>
        <s v="2022-01-30"/>
        <s v="2017-04-20"/>
        <s v="2019-07-22"/>
        <s v="2018-11-29"/>
        <s v="2022-11-14"/>
        <s v="2016-02-23"/>
        <s v="2018-05-18"/>
        <s v="2024-03-09"/>
        <s v="2024-03-27"/>
        <s v="2019-12-23"/>
        <s v="2016-08-25"/>
      </sharedItems>
    </cacheField>
    <cacheField name="Employment Status" numFmtId="0">
      <sharedItems count="5">
        <s v="Full-Time"/>
        <s v="Contract"/>
        <s v="Part-Time"/>
        <s v="Formula1" f="1"/>
        <s v="Formula2" f="1"/>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ount="5">
        <n v="1"/>
        <n v="4"/>
        <n v="2"/>
        <n v="3"/>
        <n v="5"/>
      </sharedItems>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 name="Field1" numFmtId="0" formula=" 0" databaseField="0"/>
    <cacheField name="Field2" numFmtId="0" formula="'Performance Rating'" databaseField="0"/>
    <cacheField name="Field3" numFmtId="0" formula="'Performance Rating'" databaseField="0"/>
  </cacheFields>
  <calculatedItems count="2">
    <calculatedItem>
      <pivotArea cacheIndex="1" outline="0" fieldPosition="0">
        <references count="1">
          <reference field="10" count="1">
            <x v="3"/>
          </reference>
        </references>
      </pivotArea>
    </calculatedItem>
    <calculatedItem>
      <pivotArea cacheIndex="1" outline="0" fieldPosition="0">
        <references count="1">
          <reference field="10" count="1">
            <x v="4"/>
          </reference>
        </references>
      </pivotArea>
    </calculatedItem>
  </calculatedItems>
  <extLst>
    <ext xmlns:x14="http://schemas.microsoft.com/office/spreadsheetml/2009/9/main" uri="{725AE2AE-9491-48be-B2B4-4EB974FC3084}">
      <x14:pivotCacheDefinition pivotCacheId="972101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ti More" refreshedDate="45924.556884837963" backgroundQuery="1" createdVersion="8" refreshedVersion="8" minRefreshableVersion="3" recordCount="0" supportSubquery="1" supportAdvancedDrill="1" xr:uid="{6DD4A906-9C35-4E46-86BC-D573CDF70968}">
  <cacheSource type="external" connectionId="2"/>
  <cacheFields count="2">
    <cacheField name="[Table1].[Department].[Department]" caption="Department" numFmtId="0" hierarchy="7" level="1">
      <sharedItems count="5">
        <s v="Finance"/>
        <s v="HR"/>
        <s v="IT"/>
        <s v="Marketing"/>
        <s v="Operations"/>
      </sharedItems>
    </cacheField>
    <cacheField name="[Measures].[Average of Performance Rating]" caption="Average of Performance Rating" numFmtId="0" hierarchy="24" level="32767"/>
  </cacheFields>
  <cacheHierarchies count="25">
    <cacheHierarchy uniqueName="[Table1].[Employee ID]" caption="Employee ID" attribute="1" defaultMemberUniqueName="[Table1].[Employee ID].[All]" allUniqueName="[Table1].[Employee ID].[All]" dimensionUniqueName="[Table1]" displayFolder="" count="0" memberValueDatatype="20" unbalanced="0"/>
    <cacheHierarchy uniqueName="[Table1].[Full Name]" caption="Full Name" attribute="1" defaultMemberUniqueName="[Table1].[Full Name].[All]" allUniqueName="[Table1].[Full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Job Title]" caption="Job Title" attribute="1" defaultMemberUniqueName="[Table1].[Job Title].[All]" allUniqueName="[Table1].[Job 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Manager/Supervisor]" caption="Manager/Supervisor" attribute="1" defaultMemberUniqueName="[Table1].[Manager/Supervisor].[All]" allUniqueName="[Table1].[Manager/Supervisor].[All]" dimensionUniqueName="[Table1]" displayFolder="" count="0" memberValueDatatype="130" unbalanced="0"/>
    <cacheHierarchy uniqueName="[Table1].[Date of Hire]" caption="Date of Hire" attribute="1" defaultMemberUniqueName="[Table1].[Date of Hire].[All]" allUniqueName="[Table1].[Date of Hire].[All]" dimensionUniqueName="[Table1]" displayFolder="" count="0" memberValueDatatype="13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Work Location]" caption="Work Location" attribute="1" defaultMemberUniqueName="[Table1].[Work Location].[All]" allUniqueName="[Table1].[Work Location].[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ay Grade]" caption="Pay Grade" attribute="1" defaultMemberUniqueName="[Table1].[Pay Grade].[All]" allUniqueName="[Table1].[Pay Grade].[All]" dimensionUniqueName="[Table1]" displayFolder="" count="0" memberValueDatatype="130" unbalanced="0"/>
    <cacheHierarchy uniqueName="[Table1].[Bonus/Allowances]" caption="Bonus/Allowances" attribute="1" defaultMemberUniqueName="[Table1].[Bonus/Allowances].[All]" allUniqueName="[Table1].[Bonus/Allowances].[All]" dimensionUniqueName="[Table1]" displayFolder="" count="0" memberValueDatatype="20" unbalanced="0"/>
    <cacheHierarchy uniqueName="[Table1].[Insurance Details]" caption="Insurance Details" attribute="1" defaultMemberUniqueName="[Table1].[Insurance Details].[All]" allUniqueName="[Table1].[Insurance Details].[All]" dimensionUniqueName="[Table1]" displayFolder="" count="0" memberValueDatatype="130" unbalanced="0"/>
    <cacheHierarchy uniqueName="[Table1].[Leave Taken]" caption="Leave Taken" attribute="1" defaultMemberUniqueName="[Table1].[Leave Taken].[All]" allUniqueName="[Table1].[Leave Taken].[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0" memberValueDatatype="130" unbalanced="0"/>
    <cacheHierarchy uniqueName="[Table1].[Skills]" caption="Skills" attribute="1" defaultMemberUniqueName="[Table1].[Skills].[All]" allUniqueName="[Table1].[Skills].[All]" dimensionUniqueName="[Table1]" displayFolder="" count="0" memberValueDatatype="130" unbalanced="0"/>
    <cacheHierarchy uniqueName="[Table1].[Certifications]" caption="Certifications" attribute="1" defaultMemberUniqueName="[Table1].[Certifications].[All]" allUniqueName="[Table1].[Certification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7"/>
        </ext>
      </extLst>
    </cacheHierarchy>
    <cacheHierarchy uniqueName="[Measures].[Average of Performance Rating]" caption="Average of Performance Rating"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x v="0"/>
    <x v="0"/>
    <x v="0"/>
    <n v="53700"/>
    <s v="C"/>
    <n v="1463"/>
    <s v="Health"/>
    <n v="1"/>
    <x v="0"/>
    <s v="Leadership Training"/>
    <x v="0"/>
    <s v="Certified Professional"/>
  </r>
  <r>
    <n v="9116"/>
    <x v="1"/>
    <x v="1"/>
    <n v="27"/>
    <x v="1"/>
    <x v="1"/>
    <x v="1"/>
    <x v="1"/>
    <s v="Ashley Simmons MD"/>
    <x v="1"/>
    <x v="0"/>
    <x v="1"/>
    <n v="91091"/>
    <s v="B"/>
    <n v="1024"/>
    <s v="None"/>
    <n v="19"/>
    <x v="1"/>
    <s v="Excel Workshop"/>
    <x v="0"/>
    <s v="Certified Professional"/>
  </r>
  <r>
    <n v="5120"/>
    <x v="2"/>
    <x v="1"/>
    <n v="34"/>
    <x v="1"/>
    <x v="2"/>
    <x v="2"/>
    <x v="2"/>
    <s v="Cassandra Duncan"/>
    <x v="2"/>
    <x v="0"/>
    <x v="2"/>
    <n v="57538"/>
    <s v="D"/>
    <n v="1674"/>
    <s v="None"/>
    <n v="8"/>
    <x v="0"/>
    <s v="None"/>
    <x v="1"/>
    <s v="Advanced Training"/>
  </r>
  <r>
    <n v="8071"/>
    <x v="3"/>
    <x v="0"/>
    <n v="41"/>
    <x v="2"/>
    <x v="2"/>
    <x v="0"/>
    <x v="3"/>
    <s v="Janet Harris"/>
    <x v="3"/>
    <x v="1"/>
    <x v="0"/>
    <n v="62993"/>
    <s v="A"/>
    <n v="2695"/>
    <s v="Health + Dental"/>
    <n v="0"/>
    <x v="2"/>
    <s v="None"/>
    <x v="2"/>
    <s v="None"/>
  </r>
  <r>
    <n v="9351"/>
    <x v="4"/>
    <x v="1"/>
    <n v="56"/>
    <x v="3"/>
    <x v="0"/>
    <x v="0"/>
    <x v="2"/>
    <s v="Mr. Frank Clay"/>
    <x v="4"/>
    <x v="1"/>
    <x v="1"/>
    <n v="45773"/>
    <s v="A"/>
    <n v="8776"/>
    <s v="Health"/>
    <n v="16"/>
    <x v="1"/>
    <s v="Leadership Training"/>
    <x v="2"/>
    <s v="None"/>
  </r>
  <r>
    <n v="2873"/>
    <x v="5"/>
    <x v="0"/>
    <n v="28"/>
    <x v="1"/>
    <x v="2"/>
    <x v="3"/>
    <x v="2"/>
    <s v="Dorothy Price"/>
    <x v="5"/>
    <x v="0"/>
    <x v="1"/>
    <n v="96249"/>
    <s v="C"/>
    <n v="4826"/>
    <s v="Health + Dental"/>
    <n v="7"/>
    <x v="3"/>
    <s v="Leadership Training"/>
    <x v="3"/>
    <s v="Certified Professional"/>
  </r>
  <r>
    <n v="3540"/>
    <x v="6"/>
    <x v="0"/>
    <n v="20"/>
    <x v="0"/>
    <x v="1"/>
    <x v="2"/>
    <x v="2"/>
    <s v="Michele Sexton"/>
    <x v="6"/>
    <x v="0"/>
    <x v="2"/>
    <n v="61596"/>
    <s v="C"/>
    <n v="8818"/>
    <s v="Health + Dental"/>
    <n v="4"/>
    <x v="2"/>
    <s v="Leadership Training"/>
    <x v="1"/>
    <s v="None"/>
  </r>
  <r>
    <n v="3653"/>
    <x v="7"/>
    <x v="0"/>
    <n v="58"/>
    <x v="3"/>
    <x v="3"/>
    <x v="1"/>
    <x v="4"/>
    <s v="Richard Schmidt"/>
    <x v="7"/>
    <x v="0"/>
    <x v="2"/>
    <n v="97869"/>
    <s v="A"/>
    <n v="1966"/>
    <s v="Health"/>
    <n v="10"/>
    <x v="0"/>
    <s v="Leadership Training"/>
    <x v="0"/>
    <s v="Certified Professional"/>
  </r>
  <r>
    <n v="5587"/>
    <x v="8"/>
    <x v="0"/>
    <n v="44"/>
    <x v="2"/>
    <x v="3"/>
    <x v="2"/>
    <x v="2"/>
    <s v="Teresa Pearson"/>
    <x v="8"/>
    <x v="0"/>
    <x v="0"/>
    <n v="81235"/>
    <s v="A"/>
    <n v="6553"/>
    <s v="None"/>
    <n v="16"/>
    <x v="2"/>
    <s v="None"/>
    <x v="1"/>
    <s v="Certified Professional"/>
  </r>
  <r>
    <n v="9554"/>
    <x v="9"/>
    <x v="0"/>
    <n v="29"/>
    <x v="1"/>
    <x v="1"/>
    <x v="2"/>
    <x v="3"/>
    <s v="Laura Hart"/>
    <x v="9"/>
    <x v="0"/>
    <x v="1"/>
    <n v="87852"/>
    <s v="A"/>
    <n v="4980"/>
    <s v="Health + Dental"/>
    <n v="19"/>
    <x v="3"/>
    <s v="None"/>
    <x v="2"/>
    <s v="Certified Professional"/>
  </r>
  <r>
    <n v="6213"/>
    <x v="10"/>
    <x v="1"/>
    <n v="23"/>
    <x v="0"/>
    <x v="3"/>
    <x v="0"/>
    <x v="2"/>
    <s v="Andrea May"/>
    <x v="10"/>
    <x v="1"/>
    <x v="1"/>
    <n v="59359"/>
    <s v="A"/>
    <n v="9449"/>
    <s v="Health + Dental"/>
    <n v="20"/>
    <x v="3"/>
    <s v="None"/>
    <x v="1"/>
    <s v="None"/>
  </r>
  <r>
    <n v="9105"/>
    <x v="11"/>
    <x v="1"/>
    <n v="30"/>
    <x v="1"/>
    <x v="0"/>
    <x v="1"/>
    <x v="0"/>
    <s v="Casey Martin"/>
    <x v="11"/>
    <x v="1"/>
    <x v="2"/>
    <n v="81225"/>
    <s v="D"/>
    <n v="6202"/>
    <s v="Health + Dental"/>
    <n v="2"/>
    <x v="2"/>
    <s v="Excel Workshop"/>
    <x v="4"/>
    <s v="Certified Professional"/>
  </r>
  <r>
    <n v="9508"/>
    <x v="12"/>
    <x v="0"/>
    <n v="49"/>
    <x v="4"/>
    <x v="1"/>
    <x v="0"/>
    <x v="0"/>
    <s v="Amber Allen"/>
    <x v="12"/>
    <x v="1"/>
    <x v="0"/>
    <n v="32788"/>
    <s v="D"/>
    <n v="4396"/>
    <s v="Health"/>
    <n v="13"/>
    <x v="4"/>
    <s v="None"/>
    <x v="3"/>
    <s v="Advanced Training"/>
  </r>
  <r>
    <n v="2436"/>
    <x v="13"/>
    <x v="1"/>
    <n v="60"/>
    <x v="3"/>
    <x v="4"/>
    <x v="0"/>
    <x v="3"/>
    <s v="Adam Johnson"/>
    <x v="13"/>
    <x v="1"/>
    <x v="2"/>
    <n v="70452"/>
    <s v="D"/>
    <n v="9911"/>
    <s v="None"/>
    <n v="2"/>
    <x v="0"/>
    <s v="None"/>
    <x v="3"/>
    <s v="Certified Professional"/>
  </r>
  <r>
    <n v="4441"/>
    <x v="14"/>
    <x v="1"/>
    <n v="46"/>
    <x v="4"/>
    <x v="1"/>
    <x v="3"/>
    <x v="0"/>
    <s v="Nicole Dominguez"/>
    <x v="14"/>
    <x v="0"/>
    <x v="1"/>
    <n v="33045"/>
    <s v="B"/>
    <n v="1456"/>
    <s v="None"/>
    <n v="16"/>
    <x v="3"/>
    <s v="Excel Workshop"/>
    <x v="3"/>
    <s v="None"/>
  </r>
  <r>
    <n v="5827"/>
    <x v="15"/>
    <x v="1"/>
    <n v="57"/>
    <x v="3"/>
    <x v="2"/>
    <x v="3"/>
    <x v="1"/>
    <s v="Andrew Best"/>
    <x v="15"/>
    <x v="2"/>
    <x v="2"/>
    <n v="96429"/>
    <s v="C"/>
    <n v="4740"/>
    <s v="None"/>
    <n v="8"/>
    <x v="0"/>
    <s v="Excel Workshop"/>
    <x v="2"/>
    <s v="None"/>
  </r>
  <r>
    <n v="5184"/>
    <x v="16"/>
    <x v="0"/>
    <n v="24"/>
    <x v="0"/>
    <x v="1"/>
    <x v="2"/>
    <x v="2"/>
    <s v="Gabrielle Rodriguez"/>
    <x v="16"/>
    <x v="2"/>
    <x v="2"/>
    <n v="33183"/>
    <s v="A"/>
    <n v="8114"/>
    <s v="None"/>
    <n v="4"/>
    <x v="2"/>
    <s v="Excel Workshop"/>
    <x v="4"/>
    <s v="Advanced Training"/>
  </r>
  <r>
    <n v="5874"/>
    <x v="3"/>
    <x v="0"/>
    <n v="35"/>
    <x v="1"/>
    <x v="4"/>
    <x v="3"/>
    <x v="0"/>
    <s v="Allison Harvey"/>
    <x v="17"/>
    <x v="2"/>
    <x v="0"/>
    <n v="75065"/>
    <s v="C"/>
    <n v="7123"/>
    <s v="None"/>
    <n v="20"/>
    <x v="2"/>
    <s v="None"/>
    <x v="0"/>
    <s v="Advanced Training"/>
  </r>
  <r>
    <n v="9834"/>
    <x v="17"/>
    <x v="1"/>
    <n v="41"/>
    <x v="2"/>
    <x v="1"/>
    <x v="1"/>
    <x v="4"/>
    <s v="Tristan Mejia"/>
    <x v="18"/>
    <x v="0"/>
    <x v="2"/>
    <n v="32877"/>
    <s v="C"/>
    <n v="6432"/>
    <s v="Health"/>
    <n v="11"/>
    <x v="0"/>
    <s v="None"/>
    <x v="0"/>
    <s v="None"/>
  </r>
  <r>
    <n v="5096"/>
    <x v="18"/>
    <x v="1"/>
    <n v="36"/>
    <x v="2"/>
    <x v="1"/>
    <x v="4"/>
    <x v="3"/>
    <s v="Mary Welch"/>
    <x v="19"/>
    <x v="0"/>
    <x v="1"/>
    <n v="46811"/>
    <s v="D"/>
    <n v="1567"/>
    <s v="None"/>
    <n v="7"/>
    <x v="3"/>
    <s v="Excel Workshop"/>
    <x v="0"/>
    <s v="Advanced Training"/>
  </r>
  <r>
    <n v="2263"/>
    <x v="19"/>
    <x v="1"/>
    <n v="31"/>
    <x v="1"/>
    <x v="3"/>
    <x v="2"/>
    <x v="1"/>
    <s v="Douglas Miles"/>
    <x v="20"/>
    <x v="1"/>
    <x v="1"/>
    <n v="87538"/>
    <s v="C"/>
    <n v="3588"/>
    <s v="Health + Dental"/>
    <n v="11"/>
    <x v="4"/>
    <s v="Excel Workshop"/>
    <x v="2"/>
    <s v="None"/>
  </r>
  <r>
    <n v="6505"/>
    <x v="20"/>
    <x v="0"/>
    <n v="28"/>
    <x v="1"/>
    <x v="0"/>
    <x v="1"/>
    <x v="4"/>
    <s v="Jessica Fleming"/>
    <x v="21"/>
    <x v="0"/>
    <x v="1"/>
    <n v="73002"/>
    <s v="C"/>
    <n v="6296"/>
    <s v="Health"/>
    <n v="2"/>
    <x v="4"/>
    <s v="Excel Workshop"/>
    <x v="1"/>
    <s v="Certified Professional"/>
  </r>
  <r>
    <n v="8626"/>
    <x v="21"/>
    <x v="1"/>
    <n v="37"/>
    <x v="2"/>
    <x v="3"/>
    <x v="1"/>
    <x v="3"/>
    <s v="Christine Lee"/>
    <x v="22"/>
    <x v="2"/>
    <x v="2"/>
    <n v="41653"/>
    <s v="D"/>
    <n v="9236"/>
    <s v="None"/>
    <n v="13"/>
    <x v="0"/>
    <s v="Excel Workshop"/>
    <x v="0"/>
    <s v="None"/>
  </r>
  <r>
    <n v="5979"/>
    <x v="22"/>
    <x v="0"/>
    <n v="31"/>
    <x v="1"/>
    <x v="0"/>
    <x v="0"/>
    <x v="2"/>
    <s v="Mario Smith DVM"/>
    <x v="23"/>
    <x v="1"/>
    <x v="1"/>
    <n v="67582"/>
    <s v="A"/>
    <n v="1375"/>
    <s v="Health"/>
    <n v="20"/>
    <x v="3"/>
    <s v="Excel Workshop"/>
    <x v="1"/>
    <s v="None"/>
  </r>
  <r>
    <n v="3104"/>
    <x v="23"/>
    <x v="0"/>
    <n v="23"/>
    <x v="0"/>
    <x v="3"/>
    <x v="1"/>
    <x v="1"/>
    <s v="Joseph Francis"/>
    <x v="24"/>
    <x v="2"/>
    <x v="1"/>
    <n v="37351"/>
    <s v="D"/>
    <n v="7858"/>
    <s v="Health + Dental"/>
    <n v="18"/>
    <x v="2"/>
    <s v="Leadership Training"/>
    <x v="1"/>
    <s v="Advanced Training"/>
  </r>
  <r>
    <n v="8967"/>
    <x v="24"/>
    <x v="0"/>
    <n v="48"/>
    <x v="4"/>
    <x v="4"/>
    <x v="2"/>
    <x v="0"/>
    <s v="Sarah Young"/>
    <x v="25"/>
    <x v="0"/>
    <x v="1"/>
    <n v="36721"/>
    <s v="B"/>
    <n v="8820"/>
    <s v="Health + Dental"/>
    <n v="0"/>
    <x v="2"/>
    <s v="Excel Workshop"/>
    <x v="1"/>
    <s v="Certified Professional"/>
  </r>
  <r>
    <n v="5087"/>
    <x v="25"/>
    <x v="1"/>
    <n v="28"/>
    <x v="1"/>
    <x v="2"/>
    <x v="4"/>
    <x v="0"/>
    <s v="Aaron Hart"/>
    <x v="26"/>
    <x v="1"/>
    <x v="2"/>
    <n v="46326"/>
    <s v="B"/>
    <n v="9189"/>
    <s v="Health + Dental"/>
    <n v="8"/>
    <x v="1"/>
    <s v="Leadership Training"/>
    <x v="3"/>
    <s v="Advanced Training"/>
  </r>
  <r>
    <n v="3358"/>
    <x v="26"/>
    <x v="1"/>
    <n v="30"/>
    <x v="1"/>
    <x v="1"/>
    <x v="3"/>
    <x v="1"/>
    <s v="Brian Boyd"/>
    <x v="27"/>
    <x v="0"/>
    <x v="0"/>
    <n v="59007"/>
    <s v="C"/>
    <n v="3380"/>
    <s v="Health"/>
    <n v="17"/>
    <x v="3"/>
    <s v="None"/>
    <x v="4"/>
    <s v="Certified Professional"/>
  </r>
  <r>
    <n v="8256"/>
    <x v="27"/>
    <x v="1"/>
    <n v="46"/>
    <x v="4"/>
    <x v="3"/>
    <x v="0"/>
    <x v="3"/>
    <s v="Steven Krueger"/>
    <x v="28"/>
    <x v="0"/>
    <x v="1"/>
    <n v="52020"/>
    <s v="B"/>
    <n v="9585"/>
    <s v="Health + Dental"/>
    <n v="0"/>
    <x v="1"/>
    <s v="Excel Workshop"/>
    <x v="4"/>
    <s v="None"/>
  </r>
  <r>
    <n v="5763"/>
    <x v="28"/>
    <x v="1"/>
    <n v="44"/>
    <x v="2"/>
    <x v="1"/>
    <x v="2"/>
    <x v="1"/>
    <s v="Debra Williams"/>
    <x v="29"/>
    <x v="2"/>
    <x v="1"/>
    <n v="98961"/>
    <s v="D"/>
    <n v="2688"/>
    <s v="Health"/>
    <n v="2"/>
    <x v="4"/>
    <s v="Excel Workshop"/>
    <x v="4"/>
    <s v="Certified Professional"/>
  </r>
  <r>
    <n v="6838"/>
    <x v="29"/>
    <x v="1"/>
    <n v="45"/>
    <x v="2"/>
    <x v="2"/>
    <x v="3"/>
    <x v="2"/>
    <s v="Karen Mitchell"/>
    <x v="30"/>
    <x v="2"/>
    <x v="1"/>
    <n v="81943"/>
    <s v="C"/>
    <n v="2255"/>
    <s v="Health"/>
    <n v="18"/>
    <x v="2"/>
    <s v="None"/>
    <x v="2"/>
    <s v="Certified Professional"/>
  </r>
  <r>
    <n v="9544"/>
    <x v="30"/>
    <x v="1"/>
    <n v="52"/>
    <x v="4"/>
    <x v="4"/>
    <x v="2"/>
    <x v="1"/>
    <s v="Joseph Sanders"/>
    <x v="31"/>
    <x v="2"/>
    <x v="1"/>
    <n v="47627"/>
    <s v="C"/>
    <n v="1221"/>
    <s v="None"/>
    <n v="4"/>
    <x v="3"/>
    <s v="None"/>
    <x v="1"/>
    <s v="None"/>
  </r>
  <r>
    <n v="8012"/>
    <x v="31"/>
    <x v="0"/>
    <n v="52"/>
    <x v="4"/>
    <x v="0"/>
    <x v="0"/>
    <x v="4"/>
    <s v="Shelly George"/>
    <x v="32"/>
    <x v="2"/>
    <x v="1"/>
    <n v="56162"/>
    <s v="D"/>
    <n v="6560"/>
    <s v="Health + Dental"/>
    <n v="9"/>
    <x v="1"/>
    <s v="Excel Workshop"/>
    <x v="3"/>
    <s v="None"/>
  </r>
  <r>
    <n v="9374"/>
    <x v="32"/>
    <x v="0"/>
    <n v="42"/>
    <x v="2"/>
    <x v="1"/>
    <x v="2"/>
    <x v="2"/>
    <s v="Nicole Houston"/>
    <x v="33"/>
    <x v="1"/>
    <x v="2"/>
    <n v="95734"/>
    <s v="C"/>
    <n v="4854"/>
    <s v="Health"/>
    <n v="13"/>
    <x v="2"/>
    <s v="Leadership Training"/>
    <x v="0"/>
    <s v="Certified Professional"/>
  </r>
  <r>
    <n v="3487"/>
    <x v="33"/>
    <x v="1"/>
    <n v="58"/>
    <x v="3"/>
    <x v="1"/>
    <x v="1"/>
    <x v="3"/>
    <s v="Kristin Shaffer"/>
    <x v="34"/>
    <x v="1"/>
    <x v="2"/>
    <n v="74789"/>
    <s v="C"/>
    <n v="8101"/>
    <s v="Health + Dental"/>
    <n v="14"/>
    <x v="4"/>
    <s v="Excel Workshop"/>
    <x v="2"/>
    <s v="None"/>
  </r>
  <r>
    <n v="8445"/>
    <x v="34"/>
    <x v="0"/>
    <n v="24"/>
    <x v="0"/>
    <x v="4"/>
    <x v="0"/>
    <x v="3"/>
    <s v="Joel Aguilar"/>
    <x v="35"/>
    <x v="0"/>
    <x v="2"/>
    <n v="30137"/>
    <s v="B"/>
    <n v="4031"/>
    <s v="None"/>
    <n v="5"/>
    <x v="3"/>
    <s v="None"/>
    <x v="1"/>
    <s v="Certified Professional"/>
  </r>
  <r>
    <n v="1550"/>
    <x v="35"/>
    <x v="1"/>
    <n v="21"/>
    <x v="0"/>
    <x v="1"/>
    <x v="0"/>
    <x v="0"/>
    <s v="Michael Wade"/>
    <x v="36"/>
    <x v="0"/>
    <x v="2"/>
    <n v="95510"/>
    <s v="C"/>
    <n v="6811"/>
    <s v="Health"/>
    <n v="18"/>
    <x v="1"/>
    <s v="Excel Workshop"/>
    <x v="4"/>
    <s v="Certified Professional"/>
  </r>
  <r>
    <n v="9968"/>
    <x v="36"/>
    <x v="1"/>
    <n v="58"/>
    <x v="3"/>
    <x v="1"/>
    <x v="3"/>
    <x v="0"/>
    <s v="Jessica Walsh"/>
    <x v="37"/>
    <x v="1"/>
    <x v="0"/>
    <n v="80325"/>
    <s v="B"/>
    <n v="6230"/>
    <s v="Health"/>
    <n v="5"/>
    <x v="1"/>
    <s v="None"/>
    <x v="2"/>
    <s v="Advanced Training"/>
  </r>
  <r>
    <n v="8029"/>
    <x v="37"/>
    <x v="0"/>
    <n v="57"/>
    <x v="3"/>
    <x v="3"/>
    <x v="4"/>
    <x v="4"/>
    <s v="Kelly Mack"/>
    <x v="38"/>
    <x v="2"/>
    <x v="1"/>
    <n v="34109"/>
    <s v="B"/>
    <n v="9232"/>
    <s v="Health"/>
    <n v="13"/>
    <x v="3"/>
    <s v="Leadership Training"/>
    <x v="0"/>
    <s v="Certified Professional"/>
  </r>
  <r>
    <n v="8847"/>
    <x v="38"/>
    <x v="1"/>
    <n v="41"/>
    <x v="2"/>
    <x v="3"/>
    <x v="3"/>
    <x v="0"/>
    <s v="John Conley"/>
    <x v="39"/>
    <x v="2"/>
    <x v="2"/>
    <n v="73330"/>
    <s v="C"/>
    <n v="2276"/>
    <s v="Health + Dental"/>
    <n v="5"/>
    <x v="0"/>
    <s v="None"/>
    <x v="1"/>
    <s v="Advanced Training"/>
  </r>
  <r>
    <n v="1955"/>
    <x v="39"/>
    <x v="0"/>
    <n v="58"/>
    <x v="3"/>
    <x v="2"/>
    <x v="2"/>
    <x v="1"/>
    <s v="Aaron Baker"/>
    <x v="40"/>
    <x v="1"/>
    <x v="2"/>
    <n v="46567"/>
    <s v="A"/>
    <n v="2825"/>
    <s v="Health"/>
    <n v="15"/>
    <x v="3"/>
    <s v="None"/>
    <x v="4"/>
    <s v="Advanced Training"/>
  </r>
  <r>
    <n v="4522"/>
    <x v="40"/>
    <x v="0"/>
    <n v="36"/>
    <x v="2"/>
    <x v="0"/>
    <x v="4"/>
    <x v="0"/>
    <s v="Christopher Bass"/>
    <x v="41"/>
    <x v="1"/>
    <x v="1"/>
    <n v="39795"/>
    <s v="A"/>
    <n v="1670"/>
    <s v="None"/>
    <n v="0"/>
    <x v="2"/>
    <s v="Excel Workshop"/>
    <x v="3"/>
    <s v="None"/>
  </r>
  <r>
    <n v="3078"/>
    <x v="41"/>
    <x v="0"/>
    <n v="21"/>
    <x v="0"/>
    <x v="0"/>
    <x v="0"/>
    <x v="4"/>
    <s v="Sean Tucker PhD"/>
    <x v="42"/>
    <x v="1"/>
    <x v="2"/>
    <n v="59506"/>
    <s v="A"/>
    <n v="4428"/>
    <s v="Health + Dental"/>
    <n v="0"/>
    <x v="0"/>
    <s v="None"/>
    <x v="3"/>
    <s v="Certified Professional"/>
  </r>
  <r>
    <n v="6357"/>
    <x v="42"/>
    <x v="0"/>
    <n v="46"/>
    <x v="4"/>
    <x v="2"/>
    <x v="1"/>
    <x v="4"/>
    <s v="Jacob Scott"/>
    <x v="43"/>
    <x v="1"/>
    <x v="2"/>
    <n v="49058"/>
    <s v="B"/>
    <n v="4396"/>
    <s v="None"/>
    <n v="5"/>
    <x v="0"/>
    <s v="None"/>
    <x v="3"/>
    <s v="None"/>
  </r>
  <r>
    <n v="7951"/>
    <x v="43"/>
    <x v="0"/>
    <n v="36"/>
    <x v="2"/>
    <x v="3"/>
    <x v="2"/>
    <x v="4"/>
    <s v="Joel Park"/>
    <x v="44"/>
    <x v="1"/>
    <x v="0"/>
    <n v="98612"/>
    <s v="A"/>
    <n v="1168"/>
    <s v="None"/>
    <n v="9"/>
    <x v="2"/>
    <s v="Excel Workshop"/>
    <x v="0"/>
    <s v="Certified Professional"/>
  </r>
  <r>
    <n v="9228"/>
    <x v="44"/>
    <x v="1"/>
    <n v="41"/>
    <x v="2"/>
    <x v="4"/>
    <x v="3"/>
    <x v="1"/>
    <s v="Russell Marshall"/>
    <x v="45"/>
    <x v="2"/>
    <x v="1"/>
    <n v="38201"/>
    <s v="A"/>
    <n v="7111"/>
    <s v="Health"/>
    <n v="8"/>
    <x v="1"/>
    <s v="Leadership Training"/>
    <x v="3"/>
    <s v="None"/>
  </r>
  <r>
    <n v="8988"/>
    <x v="45"/>
    <x v="1"/>
    <n v="25"/>
    <x v="0"/>
    <x v="0"/>
    <x v="2"/>
    <x v="2"/>
    <s v="James Holden"/>
    <x v="46"/>
    <x v="2"/>
    <x v="1"/>
    <n v="92919"/>
    <s v="D"/>
    <n v="9497"/>
    <s v="Health"/>
    <n v="7"/>
    <x v="2"/>
    <s v="None"/>
    <x v="3"/>
    <s v="Advanced Training"/>
  </r>
  <r>
    <n v="1952"/>
    <x v="46"/>
    <x v="0"/>
    <n v="29"/>
    <x v="1"/>
    <x v="4"/>
    <x v="0"/>
    <x v="1"/>
    <s v="Thomas Murphy"/>
    <x v="47"/>
    <x v="0"/>
    <x v="2"/>
    <n v="45188"/>
    <s v="A"/>
    <n v="9591"/>
    <s v="Health + Dental"/>
    <n v="18"/>
    <x v="3"/>
    <s v="Leadership Training"/>
    <x v="3"/>
    <s v="None"/>
  </r>
  <r>
    <n v="5760"/>
    <x v="47"/>
    <x v="0"/>
    <n v="59"/>
    <x v="3"/>
    <x v="2"/>
    <x v="1"/>
    <x v="0"/>
    <s v="Mark Abbott"/>
    <x v="48"/>
    <x v="0"/>
    <x v="1"/>
    <n v="34927"/>
    <s v="D"/>
    <n v="6996"/>
    <s v="Health + Dental"/>
    <n v="16"/>
    <x v="0"/>
    <s v="Excel Workshop"/>
    <x v="0"/>
    <s v="Certified Professional"/>
  </r>
  <r>
    <n v="5742"/>
    <x v="48"/>
    <x v="0"/>
    <n v="27"/>
    <x v="1"/>
    <x v="0"/>
    <x v="2"/>
    <x v="3"/>
    <s v="Robin Lynch"/>
    <x v="49"/>
    <x v="0"/>
    <x v="1"/>
    <n v="33183"/>
    <s v="A"/>
    <n v="1659"/>
    <s v="None"/>
    <n v="11"/>
    <x v="0"/>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B82FE3-BA05-4CE4-8E7F-96CA1067672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4">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items count="6">
        <item x="1"/>
        <item f="1" x="3"/>
        <item f="1" x="4"/>
        <item x="0"/>
        <item x="2"/>
        <item t="default"/>
      </items>
    </pivotField>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Sum of Performance Rating"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917E1E-8AA6-405F-8DDD-5C79E8CDD8B9}" name="Workpla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4:P8" firstHeaderRow="1" firstDataRow="1" firstDataCol="1"/>
  <pivotFields count="24">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items count="6">
        <item x="1"/>
        <item f="1" x="3"/>
        <item f="1" x="4"/>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AEF86-638A-47EB-A2CD-E1E14349A28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4:H10" firstHeaderRow="0" firstDataRow="1" firstDataCol="1"/>
  <pivotFields count="24">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items count="6">
        <item x="1"/>
        <item f="1" x="3"/>
        <item f="1" x="4"/>
        <item x="0"/>
        <item x="2"/>
        <item t="default"/>
      </items>
    </pivotField>
    <pivotField showAll="0"/>
    <pivotField dataField="1" showAll="0"/>
    <pivotField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7">
    <format dxfId="6">
      <pivotArea type="all" dataOnly="0" outline="0" fieldPosition="0"/>
    </format>
    <format dxfId="5">
      <pivotArea field="6" type="button" dataOnly="0" labelOnly="1" outline="0" axis="axisRow" fieldPosition="0"/>
    </format>
    <format dxfId="4">
      <pivotArea dataOnly="0" labelOnly="1" fieldPosition="0">
        <references count="1">
          <reference field="6" count="0"/>
        </references>
      </pivotArea>
    </format>
    <format dxfId="3">
      <pivotArea dataOnly="0" labelOnly="1" grandRow="1" outline="0" fieldPosition="0"/>
    </format>
    <format dxfId="2">
      <pivotArea collapsedLevelsAreSubtotals="1" fieldPosition="0">
        <references count="1">
          <reference field="6" count="0"/>
        </references>
      </pivotArea>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AFE242-D28F-48C3-9314-8070978F35DC}" name="Age rang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4:M11" firstHeaderRow="1" firstDataRow="2" firstDataCol="1"/>
  <pivotFields count="24">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items count="6">
        <item x="1"/>
        <item f="1" x="3"/>
        <item f="1" x="4"/>
        <item x="0"/>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10">
    <format dxfId="16">
      <pivotArea type="all" dataOnly="0" outline="0" fieldPosition="0"/>
    </format>
    <format dxfId="15">
      <pivotArea outline="0" collapsedLevelsAreSubtotals="1" fieldPosition="0"/>
    </format>
    <format dxfId="14">
      <pivotArea field="2" type="button" dataOnly="0" labelOnly="1" outline="0" axis="axisCol" fieldPosition="0"/>
    </format>
    <format dxfId="13">
      <pivotArea type="topRight" dataOnly="0" labelOnly="1" outline="0" fieldPosition="0"/>
    </format>
    <format dxfId="12">
      <pivotArea dataOnly="0" labelOnly="1" fieldPosition="0">
        <references count="1">
          <reference field="2" count="0"/>
        </references>
      </pivotArea>
    </format>
    <format dxfId="11">
      <pivotArea dataOnly="0" labelOnly="1" grandCol="1" outline="0" fieldPosition="0"/>
    </format>
    <format dxfId="10">
      <pivotArea type="origin" dataOnly="0" labelOnly="1" outline="0"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58F44D-C4FD-4F09-BC3F-1A1279CA24F3}" name="Employment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C8" firstHeaderRow="1" firstDataRow="1" firstDataCol="1"/>
  <pivotFields count="24">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6">
        <item h="1" f="1" x="3"/>
        <item h="1" f="1" x="4"/>
        <item x="1"/>
        <item x="0"/>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v="2"/>
    </i>
    <i>
      <x v="3"/>
    </i>
    <i>
      <x v="4"/>
    </i>
    <i t="grand">
      <x/>
    </i>
  </rowItems>
  <colItems count="1">
    <i/>
  </colItems>
  <dataFields count="1">
    <dataField name="Count of Full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EBAE81-FF4B-4FAE-AFA7-6A0378A20A31}"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4:V10" firstHeaderRow="1" firstDataRow="1" firstDataCol="1"/>
  <pivotFields count="24">
    <pivotField showAll="0"/>
    <pivotField dataField="1" showAll="0"/>
    <pivotField showAll="0">
      <items count="3">
        <item x="0"/>
        <item x="1"/>
        <item t="default"/>
      </items>
    </pivotField>
    <pivotField showAll="0"/>
    <pivotField showAll="0"/>
    <pivotField axis="axisRow" showAll="0">
      <items count="6">
        <item x="0"/>
        <item x="1"/>
        <item x="4"/>
        <item x="3"/>
        <item x="2"/>
        <item t="default"/>
      </items>
    </pivotField>
    <pivotField showAll="0"/>
    <pivotField showAll="0">
      <items count="6">
        <item x="0"/>
        <item x="1"/>
        <item x="4"/>
        <item x="2"/>
        <item x="3"/>
        <item t="default"/>
      </items>
    </pivotField>
    <pivotField showAll="0"/>
    <pivotField showAll="0"/>
    <pivotField showAll="0">
      <items count="6">
        <item x="1"/>
        <item f="1" x="3"/>
        <item f="1" x="4"/>
        <item x="0"/>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Count of Full Name" fld="1" subtotal="count" baseField="0" baseItem="0"/>
  </dataFields>
  <formats count="6">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grandRow="1" outline="0" fieldPosition="0"/>
    </format>
    <format dxfId="1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357413-ACCD-4CDE-9CA6-67BD43697092}" name="Skill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R5:S11" firstHeaderRow="1" firstDataRow="1" firstDataCol="1"/>
  <pivotFields count="24">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items count="6">
        <item x="1"/>
        <item f="1" x="3"/>
        <item f="1" x="4"/>
        <item x="0"/>
        <item x="2"/>
        <item t="default"/>
      </items>
    </pivotField>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19"/>
  </rowFields>
  <rowItems count="6">
    <i>
      <x/>
    </i>
    <i>
      <x v="1"/>
    </i>
    <i>
      <x v="2"/>
    </i>
    <i>
      <x v="3"/>
    </i>
    <i>
      <x v="4"/>
    </i>
    <i t="grand">
      <x/>
    </i>
  </rowItems>
  <colItems count="1">
    <i/>
  </colItems>
  <dataFields count="1">
    <dataField name="Count of Full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D17C42-608C-489C-BBA8-1638ABEA3C8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X4:Y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Performance Rating" fld="1" subtotal="average" baseField="0" baseItem="0" numFmtId="2"/>
  </dataFields>
  <formats count="2">
    <format dxfId="24">
      <pivotArea outline="0" fieldPosition="0">
        <references count="1">
          <reference field="4294967294" count="1">
            <x v="0"/>
          </reference>
        </references>
      </pivotArea>
    </format>
    <format dxfId="23">
      <pivotArea collapsedLevelsAreSubtotals="1" fieldPosition="0">
        <references count="1">
          <reference field="0" count="0"/>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erformance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hr analytic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DC779B9-3425-4683-B2FE-59C0864B9F9E}" autoFormatId="16" applyNumberFormats="0" applyBorderFormats="0" applyFontFormats="0" applyPatternFormats="0" applyAlignmentFormats="0" applyWidthHeightFormats="0">
  <queryTableRefresh nextId="22">
    <queryTableFields count="21">
      <queryTableField id="1" name="Table1[Employee ID]" tableColumnId="1"/>
      <queryTableField id="2" name="Table1[Full Name]" tableColumnId="2"/>
      <queryTableField id="3" name="Table1[Gender]" tableColumnId="3"/>
      <queryTableField id="4" name="Table1[Age]" tableColumnId="4"/>
      <queryTableField id="5" name="Table1[Age range]" tableColumnId="5"/>
      <queryTableField id="6" name="Table1[Region]" tableColumnId="6"/>
      <queryTableField id="7" name="Table1[Job Title]" tableColumnId="7"/>
      <queryTableField id="8" name="Table1[Department]" tableColumnId="8"/>
      <queryTableField id="9" name="Table1[Manager/Supervisor]" tableColumnId="9"/>
      <queryTableField id="10" name="Table1[Date of Hire]" tableColumnId="10"/>
      <queryTableField id="11" name="Table1[Employment Status]" tableColumnId="11"/>
      <queryTableField id="12" name="Table1[Work Location]" tableColumnId="12"/>
      <queryTableField id="13" name="Table1[Salary]" tableColumnId="13"/>
      <queryTableField id="14" name="Table1[Pay Grade]" tableColumnId="14"/>
      <queryTableField id="15" name="Table1[Bonus/Allowances]" tableColumnId="15"/>
      <queryTableField id="16" name="Table1[Insurance Details]" tableColumnId="16"/>
      <queryTableField id="17" name="Table1[Leave Taken]" tableColumnId="17"/>
      <queryTableField id="18" name="Table1[Performance Rating]" tableColumnId="18"/>
      <queryTableField id="19" name="Table1[Training Programs Attended]" tableColumnId="19"/>
      <queryTableField id="20" name="Table1[Skills]" tableColumnId="20"/>
      <queryTableField id="21" name="Table1[Certifications]" tableColumnId="2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5D1E012-B896-4D0F-B727-E6CF7AB177FB}" sourceName="Department">
  <pivotTables>
    <pivotTable tabId="5" name="PivotTable4"/>
    <pivotTable tabId="5" name="Age ranges"/>
    <pivotTable tabId="5" name="Employment Status"/>
    <pivotTable tabId="5" name="PivotTable22"/>
    <pivotTable tabId="5" name="Skills"/>
    <pivotTable tabId="5" name="Workplace"/>
    <pivotTable tabId="8" name="PivotTable1"/>
  </pivotTables>
  <data>
    <tabular pivotCacheId="97210105">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06CD196-54A6-4641-8250-46795E173232}" sourceName="Gender">
  <pivotTables>
    <pivotTable tabId="5" name="PivotTable4"/>
    <pivotTable tabId="5" name="Employment Status"/>
    <pivotTable tabId="5" name="PivotTable22"/>
    <pivotTable tabId="5" name="Skills"/>
    <pivotTable tabId="5" name="Workplace"/>
    <pivotTable tabId="5" name="Age ranges"/>
    <pivotTable tabId="8" name="PivotTable1"/>
  </pivotTables>
  <data>
    <tabular pivotCacheId="972101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E96F62-F37F-43FF-8CF9-85FEE2F00420}" cache="Slicer_Department" caption="Department" columnCount="3" rowHeight="247650"/>
  <slicer name="Gender" xr10:uid="{7AE7A731-43F4-4C75-9A6B-A559F2201225}" cache="Slicer_Gender" caption="Gender" columnCount="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47" dataDxfId="46">
  <autoFilter ref="A1:U51" xr:uid="{BD7F130C-4931-4EC9-8AE2-A64F6556D3A3}"/>
  <tableColumns count="21">
    <tableColumn id="1" xr3:uid="{6BDBB43D-1DF4-4FF3-9C56-0E3D699A83FC}" name="Employee ID" dataDxfId="45"/>
    <tableColumn id="2" xr3:uid="{363D91B7-21AD-4B4B-86DE-95D24769EAA5}" name="Full Name" dataDxfId="44"/>
    <tableColumn id="3" xr3:uid="{728245EC-9766-45F5-9851-7FEFEFBE2652}" name="Gender" dataDxfId="43"/>
    <tableColumn id="4" xr3:uid="{DD8A90D1-163F-4B0E-A039-9E7A16AFC106}" name="Age" dataDxfId="42"/>
    <tableColumn id="5" xr3:uid="{0672993B-A00D-49AE-84B7-674089468A17}" name="Age range" dataDxfId="41"/>
    <tableColumn id="6" xr3:uid="{B1ADEE80-60F1-4EE3-B3FB-8484EE6C17B3}" name="Region" dataDxfId="40"/>
    <tableColumn id="7" xr3:uid="{8E0A56EE-3456-4513-ADA0-27F6CAA8C17B}" name="Job Title" dataDxfId="39"/>
    <tableColumn id="8" xr3:uid="{0D9D5DB9-01CB-4300-B0CD-256901621ADC}" name="Department" dataDxfId="38"/>
    <tableColumn id="9" xr3:uid="{9EBDAC3F-6A39-4A78-B562-848691EE3AD1}" name="Manager/Supervisor" dataDxfId="37"/>
    <tableColumn id="10" xr3:uid="{AF849F24-150A-4123-B3F8-A46B4D4F7BC6}" name="Date of Hire" dataDxfId="36"/>
    <tableColumn id="11" xr3:uid="{8C57202E-334A-462A-9C44-E5E2468122E4}" name="Employment Status" dataDxfId="35"/>
    <tableColumn id="12" xr3:uid="{8A07812C-245C-4D55-A210-3AE7E0BB84EB}" name="Work Location" dataDxfId="34"/>
    <tableColumn id="13" xr3:uid="{6441036C-01DD-4130-8E4B-DBA441BCB744}" name="Salary" dataDxfId="33"/>
    <tableColumn id="14" xr3:uid="{ADCF531A-A98E-422C-939D-04D58C2423FB}" name="Pay Grade" dataDxfId="32"/>
    <tableColumn id="15" xr3:uid="{DE922695-AE31-4F31-8F89-61E6E7E646AB}" name="Bonus/Allowances" dataDxfId="31"/>
    <tableColumn id="16" xr3:uid="{62F2B816-9954-4A01-AEDC-4C13B3A2A52F}" name="Insurance Details" dataDxfId="30"/>
    <tableColumn id="17" xr3:uid="{6EFEC335-9B75-45D5-B403-A8A9E557BE24}" name="Leave Taken" dataDxfId="29"/>
    <tableColumn id="18" xr3:uid="{9DA1B78E-154E-42E4-A1BC-FE1CF363DCBA}" name="Performance Rating" dataDxfId="28"/>
    <tableColumn id="19" xr3:uid="{7E4B5E79-5639-4E3A-91A1-D1D8767BB705}" name="Training Programs Attended" dataDxfId="27"/>
    <tableColumn id="20" xr3:uid="{2E731344-8C6D-4001-9E36-F16B80500F61}" name="Skills" dataDxfId="26"/>
    <tableColumn id="21" xr3:uid="{9DCE550B-F788-4423-B330-CAB70C041DFC}" name="Certifications" dataDxfId="2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FF3CCC-B6FD-46DA-8B8A-B1FDCEC8D997}" name="Table_ExternalData_1" displayName="Table_ExternalData_1" ref="A3:U14" tableType="queryTable" totalsRowShown="0">
  <autoFilter ref="A3:U14" xr:uid="{EAFF3CCC-B6FD-46DA-8B8A-B1FDCEC8D997}"/>
  <tableColumns count="21">
    <tableColumn id="1" xr3:uid="{AC772837-74AC-40FF-8C36-A9F852DD9C82}" uniqueName="1" name="Table1[Employee ID]" queryTableFieldId="1"/>
    <tableColumn id="2" xr3:uid="{FCAF6DE1-1A4B-45E9-B248-A730DCD3B2B9}" uniqueName="2" name="Table1[Full Name]" queryTableFieldId="2"/>
    <tableColumn id="3" xr3:uid="{A4136972-854F-423D-8213-40411B5577AF}" uniqueName="3" name="Table1[Gender]" queryTableFieldId="3"/>
    <tableColumn id="4" xr3:uid="{84C0B3D3-DB23-44DF-AAB6-16D6A7D74B8E}" uniqueName="4" name="Table1[Age]" queryTableFieldId="4"/>
    <tableColumn id="5" xr3:uid="{DB41869A-AED8-4491-9853-03F234754A87}" uniqueName="5" name="Table1[Age range]" queryTableFieldId="5"/>
    <tableColumn id="6" xr3:uid="{B180268D-A08A-4B5A-8B30-135AEDE99DF7}" uniqueName="6" name="Table1[Region]" queryTableFieldId="6"/>
    <tableColumn id="7" xr3:uid="{66E16D55-C975-471E-A0B2-26A3DB075DC8}" uniqueName="7" name="Table1[Job Title]" queryTableFieldId="7"/>
    <tableColumn id="8" xr3:uid="{F8F121A0-D7F9-4076-B492-940681ECBF11}" uniqueName="8" name="Table1[Department]" queryTableFieldId="8"/>
    <tableColumn id="9" xr3:uid="{18F45A50-4532-4730-8673-6B17B4464BA2}" uniqueName="9" name="Table1[Manager/Supervisor]" queryTableFieldId="9"/>
    <tableColumn id="10" xr3:uid="{F24817E0-03E2-413A-9D1D-DB01D1A2E91C}" uniqueName="10" name="Table1[Date of Hire]" queryTableFieldId="10"/>
    <tableColumn id="11" xr3:uid="{4F3ACD06-24B8-47CC-BDD1-E6F95CABE308}" uniqueName="11" name="Table1[Employment Status]" queryTableFieldId="11"/>
    <tableColumn id="12" xr3:uid="{49854F86-7336-45D5-90C9-C9AC76732E2F}" uniqueName="12" name="Table1[Work Location]" queryTableFieldId="12"/>
    <tableColumn id="13" xr3:uid="{1E57366A-7885-4C94-B779-B98ED5E08F60}" uniqueName="13" name="Table1[Salary]" queryTableFieldId="13"/>
    <tableColumn id="14" xr3:uid="{12605077-A640-4DA0-B6D1-47E56E52B7D9}" uniqueName="14" name="Table1[Pay Grade]" queryTableFieldId="14"/>
    <tableColumn id="15" xr3:uid="{78A3F27A-1C37-46ED-B530-8FDEFC5B0432}" uniqueName="15" name="Table1[Bonus/Allowances]" queryTableFieldId="15"/>
    <tableColumn id="16" xr3:uid="{E9B8E5B7-5C10-400C-B25B-23C28A738A3B}" uniqueName="16" name="Table1[Insurance Details]" queryTableFieldId="16"/>
    <tableColumn id="17" xr3:uid="{10FE544F-50F8-408F-BCD5-F81761091D6D}" uniqueName="17" name="Table1[Leave Taken]" queryTableFieldId="17"/>
    <tableColumn id="18" xr3:uid="{2358FC55-E869-4EE1-B678-9A61397F2904}" uniqueName="18" name="Table1[Performance Rating]" queryTableFieldId="18"/>
    <tableColumn id="19" xr3:uid="{C5710860-0B01-4B45-8425-1835BE527470}" uniqueName="19" name="Table1[Training Programs Attended]" queryTableFieldId="19"/>
    <tableColumn id="20" xr3:uid="{B23EDB3D-1DBC-43F7-A098-24C4AEE69BE6}" uniqueName="20" name="Table1[Skills]" queryTableFieldId="20"/>
    <tableColumn id="21" xr3:uid="{A813ED13-FFAA-43F0-9D69-BB6CE97B0D82}" uniqueName="21" name="Table1[Certifications]"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abSelected="1" zoomScale="50" zoomScaleNormal="52" workbookViewId="0">
      <selection activeCell="A2" sqref="A2:U2"/>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7" style="2" customWidth="1"/>
    <col min="13" max="13" width="20.88671875" style="2" customWidth="1"/>
    <col min="14" max="14" width="22.77734375" style="2" bestFit="1" customWidth="1"/>
    <col min="15" max="15" width="34" style="2" customWidth="1"/>
    <col min="16" max="16" width="31.33203125" style="2" bestFit="1" customWidth="1"/>
    <col min="17" max="17" width="29.44140625" style="2" customWidth="1"/>
    <col min="18" max="18" width="34.109375" style="2" customWidth="1"/>
    <col min="19" max="19" width="47" style="2" customWidth="1"/>
    <col min="20" max="20" width="26.44140625" style="2" customWidth="1"/>
    <col min="21" max="21" width="38.88671875" style="2"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BE0D1-E49D-4237-AFAD-C5D8E6197B20}">
  <dimension ref="A3:B11"/>
  <sheetViews>
    <sheetView workbookViewId="0">
      <selection activeCell="B12" sqref="B12"/>
    </sheetView>
  </sheetViews>
  <sheetFormatPr defaultRowHeight="14.4"/>
  <cols>
    <col min="1" max="1" width="12.44140625" bestFit="1" customWidth="1"/>
    <col min="2" max="2" width="23.5546875" bestFit="1" customWidth="1"/>
  </cols>
  <sheetData>
    <row r="3" spans="1:2">
      <c r="A3" s="5" t="s">
        <v>214</v>
      </c>
      <c r="B3" t="s">
        <v>251</v>
      </c>
    </row>
    <row r="4" spans="1:2">
      <c r="A4" s="6" t="s">
        <v>26</v>
      </c>
      <c r="B4" s="30">
        <v>31</v>
      </c>
    </row>
    <row r="5" spans="1:2">
      <c r="A5" s="6" t="s">
        <v>41</v>
      </c>
      <c r="B5" s="30">
        <v>33</v>
      </c>
    </row>
    <row r="6" spans="1:2">
      <c r="A6" s="6" t="s">
        <v>81</v>
      </c>
      <c r="B6" s="30">
        <v>18</v>
      </c>
    </row>
    <row r="7" spans="1:2">
      <c r="A7" s="6" t="s">
        <v>51</v>
      </c>
      <c r="B7" s="30">
        <v>26</v>
      </c>
    </row>
    <row r="8" spans="1:2">
      <c r="A8" s="6" t="s">
        <v>60</v>
      </c>
      <c r="B8" s="30">
        <v>23</v>
      </c>
    </row>
    <row r="9" spans="1:2">
      <c r="A9" s="6" t="s">
        <v>215</v>
      </c>
      <c r="B9" s="30">
        <v>131</v>
      </c>
    </row>
    <row r="11" spans="1:2">
      <c r="B11">
        <f>GETPIVOTDATA("Performance Rating",$A$3)</f>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9E924-D777-4F1F-B821-3103FF0E1209}">
  <dimension ref="A1:U14"/>
  <sheetViews>
    <sheetView zoomScaleNormal="100" workbookViewId="0">
      <selection activeCell="B14" sqref="B14"/>
    </sheetView>
  </sheetViews>
  <sheetFormatPr defaultRowHeight="14.4"/>
  <cols>
    <col min="1" max="1" width="20.44140625" bestFit="1" customWidth="1"/>
    <col min="2" max="2" width="18.44140625" bestFit="1" customWidth="1"/>
    <col min="3" max="3" width="16.109375" bestFit="1" customWidth="1"/>
    <col min="4" max="4" width="12.88671875" bestFit="1" customWidth="1"/>
    <col min="5" max="5" width="17.88671875" bestFit="1" customWidth="1"/>
    <col min="6" max="6" width="15.5546875" bestFit="1" customWidth="1"/>
    <col min="7" max="7" width="16.77734375" bestFit="1" customWidth="1"/>
    <col min="8" max="8" width="20.109375" bestFit="1" customWidth="1"/>
    <col min="9" max="9" width="26.77734375" bestFit="1" customWidth="1"/>
    <col min="10" max="10" width="19.77734375" bestFit="1" customWidth="1"/>
    <col min="11" max="11" width="26.44140625" bestFit="1" customWidth="1"/>
    <col min="12" max="12" width="21.88671875" bestFit="1" customWidth="1"/>
    <col min="13" max="13" width="15.109375" bestFit="1" customWidth="1"/>
    <col min="14" max="14" width="18.44140625" bestFit="1" customWidth="1"/>
    <col min="15" max="15" width="25.33203125" bestFit="1" customWidth="1"/>
    <col min="16" max="16" width="24.5546875" bestFit="1" customWidth="1"/>
    <col min="17" max="17" width="20.109375" bestFit="1" customWidth="1"/>
    <col min="18" max="18" width="26.44140625" bestFit="1" customWidth="1"/>
    <col min="19" max="19" width="33.21875" bestFit="1" customWidth="1"/>
    <col min="20" max="20" width="14.5546875" bestFit="1" customWidth="1"/>
    <col min="21" max="21" width="21.44140625" bestFit="1" customWidth="1"/>
  </cols>
  <sheetData>
    <row r="1" spans="1:21">
      <c r="A1" s="21" t="s">
        <v>249</v>
      </c>
    </row>
    <row r="3" spans="1:21">
      <c r="A3" t="s">
        <v>228</v>
      </c>
      <c r="B3" t="s">
        <v>229</v>
      </c>
      <c r="C3" t="s">
        <v>230</v>
      </c>
      <c r="D3" t="s">
        <v>231</v>
      </c>
      <c r="E3" t="s">
        <v>232</v>
      </c>
      <c r="F3" t="s">
        <v>233</v>
      </c>
      <c r="G3" t="s">
        <v>234</v>
      </c>
      <c r="H3" t="s">
        <v>235</v>
      </c>
      <c r="I3" t="s">
        <v>236</v>
      </c>
      <c r="J3" t="s">
        <v>237</v>
      </c>
      <c r="K3" t="s">
        <v>238</v>
      </c>
      <c r="L3" t="s">
        <v>239</v>
      </c>
      <c r="M3" t="s">
        <v>240</v>
      </c>
      <c r="N3" t="s">
        <v>241</v>
      </c>
      <c r="O3" t="s">
        <v>242</v>
      </c>
      <c r="P3" t="s">
        <v>243</v>
      </c>
      <c r="Q3" t="s">
        <v>244</v>
      </c>
      <c r="R3" t="s">
        <v>245</v>
      </c>
      <c r="S3" t="s">
        <v>246</v>
      </c>
      <c r="T3" t="s">
        <v>247</v>
      </c>
      <c r="U3" t="s">
        <v>248</v>
      </c>
    </row>
    <row r="4" spans="1:21">
      <c r="A4">
        <v>5120</v>
      </c>
      <c r="B4" t="s">
        <v>48</v>
      </c>
      <c r="C4" t="s">
        <v>37</v>
      </c>
      <c r="D4">
        <v>34</v>
      </c>
      <c r="E4" t="s">
        <v>38</v>
      </c>
      <c r="F4" t="s">
        <v>49</v>
      </c>
      <c r="G4" t="s">
        <v>50</v>
      </c>
      <c r="H4" t="s">
        <v>51</v>
      </c>
      <c r="I4" t="s">
        <v>52</v>
      </c>
      <c r="J4" t="s">
        <v>53</v>
      </c>
      <c r="K4" t="s">
        <v>29</v>
      </c>
      <c r="L4" t="s">
        <v>54</v>
      </c>
      <c r="M4">
        <v>57538</v>
      </c>
      <c r="N4" t="s">
        <v>55</v>
      </c>
      <c r="O4">
        <v>1674</v>
      </c>
      <c r="P4" t="s">
        <v>46</v>
      </c>
      <c r="Q4">
        <v>8</v>
      </c>
      <c r="R4">
        <v>1</v>
      </c>
      <c r="S4" t="s">
        <v>46</v>
      </c>
      <c r="T4" t="s">
        <v>56</v>
      </c>
      <c r="U4" t="s">
        <v>57</v>
      </c>
    </row>
    <row r="5" spans="1:21">
      <c r="A5">
        <v>9351</v>
      </c>
      <c r="B5" t="s">
        <v>67</v>
      </c>
      <c r="C5" t="s">
        <v>37</v>
      </c>
      <c r="D5">
        <v>56</v>
      </c>
      <c r="E5" t="s">
        <v>68</v>
      </c>
      <c r="F5" t="s">
        <v>24</v>
      </c>
      <c r="G5" t="s">
        <v>25</v>
      </c>
      <c r="H5" t="s">
        <v>51</v>
      </c>
      <c r="I5" t="s">
        <v>69</v>
      </c>
      <c r="J5" t="s">
        <v>70</v>
      </c>
      <c r="K5" t="s">
        <v>63</v>
      </c>
      <c r="L5" t="s">
        <v>44</v>
      </c>
      <c r="M5">
        <v>45773</v>
      </c>
      <c r="N5" t="s">
        <v>64</v>
      </c>
      <c r="O5">
        <v>8776</v>
      </c>
      <c r="P5" t="s">
        <v>32</v>
      </c>
      <c r="Q5">
        <v>16</v>
      </c>
      <c r="R5">
        <v>4</v>
      </c>
      <c r="S5" t="s">
        <v>33</v>
      </c>
      <c r="T5" t="s">
        <v>66</v>
      </c>
      <c r="U5" t="s">
        <v>46</v>
      </c>
    </row>
    <row r="6" spans="1:21">
      <c r="A6">
        <v>2873</v>
      </c>
      <c r="B6" t="s">
        <v>71</v>
      </c>
      <c r="C6" t="s">
        <v>22</v>
      </c>
      <c r="D6">
        <v>28</v>
      </c>
      <c r="E6" t="s">
        <v>38</v>
      </c>
      <c r="F6" t="s">
        <v>49</v>
      </c>
      <c r="G6" t="s">
        <v>72</v>
      </c>
      <c r="H6" t="s">
        <v>51</v>
      </c>
      <c r="I6" t="s">
        <v>73</v>
      </c>
      <c r="J6" t="s">
        <v>74</v>
      </c>
      <c r="K6" t="s">
        <v>29</v>
      </c>
      <c r="L6" t="s">
        <v>44</v>
      </c>
      <c r="M6">
        <v>96249</v>
      </c>
      <c r="N6" t="s">
        <v>31</v>
      </c>
      <c r="O6">
        <v>4826</v>
      </c>
      <c r="P6" t="s">
        <v>65</v>
      </c>
      <c r="Q6">
        <v>7</v>
      </c>
      <c r="R6">
        <v>3</v>
      </c>
      <c r="S6" t="s">
        <v>33</v>
      </c>
      <c r="T6" t="s">
        <v>75</v>
      </c>
      <c r="U6" t="s">
        <v>35</v>
      </c>
    </row>
    <row r="7" spans="1:21">
      <c r="A7">
        <v>3540</v>
      </c>
      <c r="B7" t="s">
        <v>76</v>
      </c>
      <c r="C7" t="s">
        <v>22</v>
      </c>
      <c r="D7">
        <v>20</v>
      </c>
      <c r="E7" t="s">
        <v>23</v>
      </c>
      <c r="F7" t="s">
        <v>39</v>
      </c>
      <c r="G7" t="s">
        <v>50</v>
      </c>
      <c r="H7" t="s">
        <v>51</v>
      </c>
      <c r="I7" t="s">
        <v>77</v>
      </c>
      <c r="J7" t="s">
        <v>78</v>
      </c>
      <c r="K7" t="s">
        <v>29</v>
      </c>
      <c r="L7" t="s">
        <v>54</v>
      </c>
      <c r="M7">
        <v>61596</v>
      </c>
      <c r="N7" t="s">
        <v>31</v>
      </c>
      <c r="O7">
        <v>8818</v>
      </c>
      <c r="P7" t="s">
        <v>65</v>
      </c>
      <c r="Q7">
        <v>4</v>
      </c>
      <c r="R7">
        <v>2</v>
      </c>
      <c r="S7" t="s">
        <v>33</v>
      </c>
      <c r="T7" t="s">
        <v>56</v>
      </c>
      <c r="U7" t="s">
        <v>46</v>
      </c>
    </row>
    <row r="8" spans="1:21">
      <c r="A8">
        <v>5587</v>
      </c>
      <c r="B8" t="s">
        <v>84</v>
      </c>
      <c r="C8" t="s">
        <v>22</v>
      </c>
      <c r="D8">
        <v>44</v>
      </c>
      <c r="E8" t="s">
        <v>59</v>
      </c>
      <c r="F8" t="s">
        <v>80</v>
      </c>
      <c r="G8" t="s">
        <v>50</v>
      </c>
      <c r="H8" t="s">
        <v>51</v>
      </c>
      <c r="I8" t="s">
        <v>85</v>
      </c>
      <c r="J8" t="s">
        <v>86</v>
      </c>
      <c r="K8" t="s">
        <v>29</v>
      </c>
      <c r="L8" t="s">
        <v>30</v>
      </c>
      <c r="M8">
        <v>81235</v>
      </c>
      <c r="N8" t="s">
        <v>64</v>
      </c>
      <c r="O8">
        <v>6553</v>
      </c>
      <c r="P8" t="s">
        <v>46</v>
      </c>
      <c r="Q8">
        <v>16</v>
      </c>
      <c r="R8">
        <v>2</v>
      </c>
      <c r="S8" t="s">
        <v>46</v>
      </c>
      <c r="T8" t="s">
        <v>56</v>
      </c>
      <c r="U8" t="s">
        <v>35</v>
      </c>
    </row>
    <row r="9" spans="1:21">
      <c r="A9">
        <v>6213</v>
      </c>
      <c r="B9" t="s">
        <v>90</v>
      </c>
      <c r="C9" t="s">
        <v>37</v>
      </c>
      <c r="D9">
        <v>23</v>
      </c>
      <c r="E9" t="s">
        <v>23</v>
      </c>
      <c r="F9" t="s">
        <v>80</v>
      </c>
      <c r="G9" t="s">
        <v>25</v>
      </c>
      <c r="H9" t="s">
        <v>51</v>
      </c>
      <c r="I9" t="s">
        <v>91</v>
      </c>
      <c r="J9" t="s">
        <v>92</v>
      </c>
      <c r="K9" t="s">
        <v>63</v>
      </c>
      <c r="L9" t="s">
        <v>44</v>
      </c>
      <c r="M9">
        <v>59359</v>
      </c>
      <c r="N9" t="s">
        <v>64</v>
      </c>
      <c r="O9">
        <v>9449</v>
      </c>
      <c r="P9" t="s">
        <v>65</v>
      </c>
      <c r="Q9">
        <v>20</v>
      </c>
      <c r="R9">
        <v>3</v>
      </c>
      <c r="S9" t="s">
        <v>46</v>
      </c>
      <c r="T9" t="s">
        <v>56</v>
      </c>
      <c r="U9" t="s">
        <v>46</v>
      </c>
    </row>
    <row r="10" spans="1:21">
      <c r="A10">
        <v>5184</v>
      </c>
      <c r="B10" t="s">
        <v>112</v>
      </c>
      <c r="C10" t="s">
        <v>22</v>
      </c>
      <c r="D10">
        <v>24</v>
      </c>
      <c r="E10" t="s">
        <v>23</v>
      </c>
      <c r="F10" t="s">
        <v>39</v>
      </c>
      <c r="G10" t="s">
        <v>50</v>
      </c>
      <c r="H10" t="s">
        <v>51</v>
      </c>
      <c r="I10" t="s">
        <v>113</v>
      </c>
      <c r="J10" t="s">
        <v>114</v>
      </c>
      <c r="K10" t="s">
        <v>111</v>
      </c>
      <c r="L10" t="s">
        <v>54</v>
      </c>
      <c r="M10">
        <v>33183</v>
      </c>
      <c r="N10" t="s">
        <v>64</v>
      </c>
      <c r="O10">
        <v>8114</v>
      </c>
      <c r="P10" t="s">
        <v>46</v>
      </c>
      <c r="Q10">
        <v>4</v>
      </c>
      <c r="R10">
        <v>2</v>
      </c>
      <c r="S10" t="s">
        <v>47</v>
      </c>
      <c r="T10" t="s">
        <v>96</v>
      </c>
      <c r="U10" t="s">
        <v>57</v>
      </c>
    </row>
    <row r="11" spans="1:21">
      <c r="A11">
        <v>5979</v>
      </c>
      <c r="B11" t="s">
        <v>133</v>
      </c>
      <c r="C11" t="s">
        <v>22</v>
      </c>
      <c r="D11">
        <v>31</v>
      </c>
      <c r="E11" t="s">
        <v>38</v>
      </c>
      <c r="F11" t="s">
        <v>24</v>
      </c>
      <c r="G11" t="s">
        <v>25</v>
      </c>
      <c r="H11" t="s">
        <v>51</v>
      </c>
      <c r="I11" t="s">
        <v>134</v>
      </c>
      <c r="J11" t="s">
        <v>135</v>
      </c>
      <c r="K11" t="s">
        <v>63</v>
      </c>
      <c r="L11" t="s">
        <v>44</v>
      </c>
      <c r="M11">
        <v>67582</v>
      </c>
      <c r="N11" t="s">
        <v>64</v>
      </c>
      <c r="O11">
        <v>1375</v>
      </c>
      <c r="P11" t="s">
        <v>32</v>
      </c>
      <c r="Q11">
        <v>20</v>
      </c>
      <c r="R11">
        <v>3</v>
      </c>
      <c r="S11" t="s">
        <v>47</v>
      </c>
      <c r="T11" t="s">
        <v>56</v>
      </c>
      <c r="U11" t="s">
        <v>46</v>
      </c>
    </row>
    <row r="12" spans="1:21">
      <c r="A12">
        <v>6838</v>
      </c>
      <c r="B12" t="s">
        <v>154</v>
      </c>
      <c r="C12" t="s">
        <v>37</v>
      </c>
      <c r="D12">
        <v>45</v>
      </c>
      <c r="E12" t="s">
        <v>59</v>
      </c>
      <c r="F12" t="s">
        <v>49</v>
      </c>
      <c r="G12" t="s">
        <v>72</v>
      </c>
      <c r="H12" t="s">
        <v>51</v>
      </c>
      <c r="I12" t="s">
        <v>155</v>
      </c>
      <c r="J12" t="s">
        <v>156</v>
      </c>
      <c r="K12" t="s">
        <v>111</v>
      </c>
      <c r="L12" t="s">
        <v>44</v>
      </c>
      <c r="M12">
        <v>81943</v>
      </c>
      <c r="N12" t="s">
        <v>31</v>
      </c>
      <c r="O12">
        <v>2255</v>
      </c>
      <c r="P12" t="s">
        <v>32</v>
      </c>
      <c r="Q12">
        <v>18</v>
      </c>
      <c r="R12">
        <v>2</v>
      </c>
      <c r="S12" t="s">
        <v>46</v>
      </c>
      <c r="T12" t="s">
        <v>66</v>
      </c>
      <c r="U12" t="s">
        <v>35</v>
      </c>
    </row>
    <row r="13" spans="1:21">
      <c r="A13">
        <v>9374</v>
      </c>
      <c r="B13" t="s">
        <v>163</v>
      </c>
      <c r="C13" t="s">
        <v>22</v>
      </c>
      <c r="D13">
        <v>42</v>
      </c>
      <c r="E13" t="s">
        <v>59</v>
      </c>
      <c r="F13" t="s">
        <v>39</v>
      </c>
      <c r="G13" t="s">
        <v>50</v>
      </c>
      <c r="H13" t="s">
        <v>51</v>
      </c>
      <c r="I13" t="s">
        <v>164</v>
      </c>
      <c r="J13" t="s">
        <v>165</v>
      </c>
      <c r="K13" t="s">
        <v>63</v>
      </c>
      <c r="L13" t="s">
        <v>54</v>
      </c>
      <c r="M13">
        <v>95734</v>
      </c>
      <c r="N13" t="s">
        <v>31</v>
      </c>
      <c r="O13">
        <v>4854</v>
      </c>
      <c r="P13" t="s">
        <v>32</v>
      </c>
      <c r="Q13">
        <v>13</v>
      </c>
      <c r="R13">
        <v>2</v>
      </c>
      <c r="S13" t="s">
        <v>33</v>
      </c>
      <c r="T13" t="s">
        <v>34</v>
      </c>
      <c r="U13" t="s">
        <v>35</v>
      </c>
    </row>
    <row r="14" spans="1:21">
      <c r="A14">
        <v>8988</v>
      </c>
      <c r="B14" t="s">
        <v>202</v>
      </c>
      <c r="C14" t="s">
        <v>37</v>
      </c>
      <c r="D14">
        <v>25</v>
      </c>
      <c r="E14" t="s">
        <v>23</v>
      </c>
      <c r="F14" t="s">
        <v>24</v>
      </c>
      <c r="G14" t="s">
        <v>50</v>
      </c>
      <c r="H14" t="s">
        <v>51</v>
      </c>
      <c r="I14" t="s">
        <v>203</v>
      </c>
      <c r="J14" t="s">
        <v>204</v>
      </c>
      <c r="K14" t="s">
        <v>111</v>
      </c>
      <c r="L14" t="s">
        <v>44</v>
      </c>
      <c r="M14">
        <v>92919</v>
      </c>
      <c r="N14" t="s">
        <v>55</v>
      </c>
      <c r="O14">
        <v>9497</v>
      </c>
      <c r="P14" t="s">
        <v>32</v>
      </c>
      <c r="Q14">
        <v>7</v>
      </c>
      <c r="R14">
        <v>2</v>
      </c>
      <c r="S14" t="s">
        <v>46</v>
      </c>
      <c r="T14" t="s">
        <v>75</v>
      </c>
      <c r="U14"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1D69-A489-4A23-8E0E-2D0AABD32077}">
  <dimension ref="B2:AC43"/>
  <sheetViews>
    <sheetView topLeftCell="Q2" zoomScale="73" zoomScaleNormal="85" workbookViewId="0">
      <selection activeCell="Y4" sqref="Y4"/>
    </sheetView>
  </sheetViews>
  <sheetFormatPr defaultRowHeight="14.4"/>
  <cols>
    <col min="1" max="1" width="5.5546875" customWidth="1"/>
    <col min="2" max="2" width="13.33203125" bestFit="1" customWidth="1"/>
    <col min="3" max="3" width="16.6640625" bestFit="1" customWidth="1"/>
    <col min="4" max="4" width="11.5546875" customWidth="1"/>
    <col min="5" max="5" width="9.21875" customWidth="1"/>
    <col min="6" max="6" width="15.33203125" style="10" bestFit="1" customWidth="1"/>
    <col min="7" max="7" width="14.88671875" style="10" bestFit="1" customWidth="1"/>
    <col min="8" max="8" width="21.21875" style="10" bestFit="1" customWidth="1"/>
    <col min="9" max="9" width="5.77734375" customWidth="1"/>
    <col min="10" max="10" width="16.6640625" style="10" bestFit="1" customWidth="1"/>
    <col min="11" max="11" width="18.6640625" style="10" bestFit="1" customWidth="1"/>
    <col min="12" max="12" width="5.77734375" style="10" bestFit="1" customWidth="1"/>
    <col min="13" max="13" width="12.44140625" style="10" bestFit="1" customWidth="1"/>
    <col min="14" max="14" width="7.33203125" customWidth="1"/>
    <col min="15" max="15" width="13.33203125" bestFit="1" customWidth="1"/>
    <col min="16" max="16" width="16.6640625" bestFit="1" customWidth="1"/>
    <col min="17" max="17" width="6.44140625" customWidth="1"/>
    <col min="18" max="18" width="14.109375" bestFit="1" customWidth="1"/>
    <col min="19" max="19" width="16.6640625" bestFit="1" customWidth="1"/>
    <col min="20" max="20" width="6.6640625" customWidth="1"/>
    <col min="21" max="21" width="15.33203125" style="18" bestFit="1" customWidth="1"/>
    <col min="22" max="22" width="19.88671875" style="18" bestFit="1" customWidth="1"/>
    <col min="23" max="23" width="6" customWidth="1"/>
    <col min="24" max="24" width="13" bestFit="1" customWidth="1"/>
    <col min="25" max="25" width="27.5546875" bestFit="1" customWidth="1"/>
    <col min="26" max="26" width="13" bestFit="1" customWidth="1"/>
    <col min="27" max="27" width="27.5546875" bestFit="1" customWidth="1"/>
    <col min="28" max="28" width="26.77734375" bestFit="1" customWidth="1"/>
    <col min="29" max="32" width="2.21875" bestFit="1" customWidth="1"/>
    <col min="33" max="33" width="11.109375" bestFit="1" customWidth="1"/>
  </cols>
  <sheetData>
    <row r="2" spans="2:29" s="8" customFormat="1" ht="21">
      <c r="B2" s="20" t="s">
        <v>217</v>
      </c>
      <c r="C2" s="20"/>
      <c r="D2" s="20"/>
      <c r="F2" s="25" t="s">
        <v>220</v>
      </c>
      <c r="G2" s="25"/>
      <c r="H2" s="25"/>
      <c r="J2" s="29" t="s">
        <v>222</v>
      </c>
      <c r="K2" s="29"/>
      <c r="L2" s="29"/>
      <c r="M2" s="29"/>
      <c r="O2" s="28" t="s">
        <v>223</v>
      </c>
      <c r="P2" s="28"/>
      <c r="R2"/>
      <c r="S2"/>
      <c r="U2" s="26" t="s">
        <v>225</v>
      </c>
      <c r="V2" s="26"/>
      <c r="X2" s="27" t="s">
        <v>226</v>
      </c>
      <c r="Y2" s="27"/>
      <c r="AC2"/>
    </row>
    <row r="3" spans="2:29" s="6" customFormat="1" ht="13.8" customHeight="1">
      <c r="B3" s="7"/>
      <c r="C3" s="7"/>
      <c r="D3" s="7"/>
      <c r="F3" s="7"/>
      <c r="G3" s="7"/>
      <c r="H3" s="7"/>
      <c r="J3" s="10"/>
      <c r="K3" s="10"/>
      <c r="L3" s="10"/>
      <c r="M3" s="10"/>
      <c r="N3"/>
      <c r="R3" s="24" t="s">
        <v>19</v>
      </c>
      <c r="S3" s="24"/>
      <c r="U3" s="16"/>
      <c r="V3" s="16"/>
      <c r="AC3"/>
    </row>
    <row r="4" spans="2:29">
      <c r="B4" s="5" t="s">
        <v>214</v>
      </c>
      <c r="C4" t="s">
        <v>216</v>
      </c>
      <c r="F4" s="9" t="s">
        <v>214</v>
      </c>
      <c r="G4" s="10" t="s">
        <v>219</v>
      </c>
      <c r="H4" s="10" t="s">
        <v>224</v>
      </c>
      <c r="J4" s="35" t="s">
        <v>216</v>
      </c>
      <c r="K4" s="9" t="s">
        <v>221</v>
      </c>
      <c r="O4" s="5" t="s">
        <v>214</v>
      </c>
      <c r="P4" t="s">
        <v>216</v>
      </c>
      <c r="R4" s="6"/>
      <c r="S4" s="6"/>
      <c r="U4" s="17" t="s">
        <v>214</v>
      </c>
      <c r="V4" s="18" t="s">
        <v>216</v>
      </c>
      <c r="X4" s="5" t="s">
        <v>214</v>
      </c>
      <c r="Y4" t="s">
        <v>227</v>
      </c>
    </row>
    <row r="5" spans="2:29">
      <c r="B5" s="6" t="s">
        <v>63</v>
      </c>
      <c r="C5" s="30">
        <v>17</v>
      </c>
      <c r="F5" s="7" t="s">
        <v>121</v>
      </c>
      <c r="G5" s="32">
        <v>167041</v>
      </c>
      <c r="H5" s="32">
        <v>28</v>
      </c>
      <c r="J5" s="35" t="s">
        <v>214</v>
      </c>
      <c r="K5" s="10" t="s">
        <v>22</v>
      </c>
      <c r="L5" s="10" t="s">
        <v>37</v>
      </c>
      <c r="M5" s="10" t="s">
        <v>215</v>
      </c>
      <c r="O5" s="6" t="s">
        <v>44</v>
      </c>
      <c r="P5" s="30">
        <v>23</v>
      </c>
      <c r="R5" s="5" t="s">
        <v>214</v>
      </c>
      <c r="S5" t="s">
        <v>216</v>
      </c>
      <c r="U5" s="16" t="s">
        <v>24</v>
      </c>
      <c r="V5" s="34">
        <v>10</v>
      </c>
      <c r="X5" s="6" t="s">
        <v>26</v>
      </c>
      <c r="Y5" s="19">
        <v>2.5833333333333335</v>
      </c>
    </row>
    <row r="6" spans="2:29">
      <c r="B6" s="6" t="s">
        <v>29</v>
      </c>
      <c r="C6" s="30">
        <v>20</v>
      </c>
      <c r="F6" s="7" t="s">
        <v>40</v>
      </c>
      <c r="G6" s="32">
        <v>613842</v>
      </c>
      <c r="H6" s="32">
        <v>110</v>
      </c>
      <c r="J6" s="36" t="s">
        <v>23</v>
      </c>
      <c r="K6" s="31">
        <v>6</v>
      </c>
      <c r="L6" s="31">
        <v>3</v>
      </c>
      <c r="M6" s="31">
        <v>9</v>
      </c>
      <c r="O6" s="6" t="s">
        <v>30</v>
      </c>
      <c r="P6" s="30">
        <v>8</v>
      </c>
      <c r="R6" s="6" t="s">
        <v>75</v>
      </c>
      <c r="S6" s="30">
        <v>12</v>
      </c>
      <c r="U6" s="16" t="s">
        <v>39</v>
      </c>
      <c r="V6" s="34">
        <v>14</v>
      </c>
      <c r="X6" s="6" t="s">
        <v>41</v>
      </c>
      <c r="Y6" s="19">
        <v>3.3</v>
      </c>
    </row>
    <row r="7" spans="2:29">
      <c r="B7" s="6" t="s">
        <v>111</v>
      </c>
      <c r="C7" s="30">
        <v>13</v>
      </c>
      <c r="F7" s="7" t="s">
        <v>72</v>
      </c>
      <c r="G7" s="32">
        <v>633594</v>
      </c>
      <c r="H7" s="32">
        <v>104</v>
      </c>
      <c r="J7" s="36" t="s">
        <v>38</v>
      </c>
      <c r="K7" s="31">
        <v>7</v>
      </c>
      <c r="L7" s="31">
        <v>6</v>
      </c>
      <c r="M7" s="31">
        <v>13</v>
      </c>
      <c r="O7" s="6" t="s">
        <v>54</v>
      </c>
      <c r="P7" s="30">
        <v>19</v>
      </c>
      <c r="R7" s="6" t="s">
        <v>34</v>
      </c>
      <c r="S7" s="30">
        <v>11</v>
      </c>
      <c r="U7" s="16" t="s">
        <v>102</v>
      </c>
      <c r="V7" s="34">
        <v>7</v>
      </c>
      <c r="X7" s="6" t="s">
        <v>81</v>
      </c>
      <c r="Y7" s="19">
        <v>2.25</v>
      </c>
    </row>
    <row r="8" spans="2:29">
      <c r="B8" s="6" t="s">
        <v>215</v>
      </c>
      <c r="C8" s="30">
        <v>50</v>
      </c>
      <c r="F8" s="7" t="s">
        <v>50</v>
      </c>
      <c r="G8" s="32">
        <v>959266</v>
      </c>
      <c r="H8" s="32">
        <v>123</v>
      </c>
      <c r="J8" s="36" t="s">
        <v>59</v>
      </c>
      <c r="K8" s="31">
        <v>5</v>
      </c>
      <c r="L8" s="31">
        <v>7</v>
      </c>
      <c r="M8" s="31">
        <v>12</v>
      </c>
      <c r="O8" s="6" t="s">
        <v>215</v>
      </c>
      <c r="P8" s="30">
        <v>50</v>
      </c>
      <c r="R8" s="6" t="s">
        <v>96</v>
      </c>
      <c r="S8" s="30">
        <v>7</v>
      </c>
      <c r="U8" s="16" t="s">
        <v>80</v>
      </c>
      <c r="V8" s="34">
        <v>10</v>
      </c>
      <c r="X8" s="6" t="s">
        <v>51</v>
      </c>
      <c r="Y8" s="19">
        <v>2.3636363636363638</v>
      </c>
    </row>
    <row r="9" spans="2:29">
      <c r="F9" s="7" t="s">
        <v>25</v>
      </c>
      <c r="G9" s="32">
        <v>731170</v>
      </c>
      <c r="H9" s="32">
        <v>122</v>
      </c>
      <c r="J9" s="36" t="s">
        <v>98</v>
      </c>
      <c r="K9" s="31">
        <v>4</v>
      </c>
      <c r="L9" s="31">
        <v>3</v>
      </c>
      <c r="M9" s="31">
        <v>7</v>
      </c>
      <c r="R9" s="6" t="s">
        <v>56</v>
      </c>
      <c r="S9" s="30">
        <v>11</v>
      </c>
      <c r="U9" s="16" t="s">
        <v>49</v>
      </c>
      <c r="V9" s="34">
        <v>9</v>
      </c>
      <c r="X9" s="6" t="s">
        <v>60</v>
      </c>
      <c r="Y9" s="19">
        <v>2.5555555555555554</v>
      </c>
    </row>
    <row r="10" spans="2:29">
      <c r="F10" s="7" t="s">
        <v>215</v>
      </c>
      <c r="G10" s="33">
        <v>3104913</v>
      </c>
      <c r="H10" s="33">
        <v>487</v>
      </c>
      <c r="J10" s="36" t="s">
        <v>68</v>
      </c>
      <c r="K10" s="31">
        <v>4</v>
      </c>
      <c r="L10" s="31">
        <v>5</v>
      </c>
      <c r="M10" s="31">
        <v>9</v>
      </c>
      <c r="R10" s="6" t="s">
        <v>66</v>
      </c>
      <c r="S10" s="30">
        <v>9</v>
      </c>
      <c r="U10" s="16" t="s">
        <v>215</v>
      </c>
      <c r="V10" s="34">
        <v>50</v>
      </c>
      <c r="X10" s="6" t="s">
        <v>215</v>
      </c>
      <c r="Y10" s="22">
        <v>2.62</v>
      </c>
    </row>
    <row r="11" spans="2:29">
      <c r="B11" s="6" t="s">
        <v>63</v>
      </c>
      <c r="C11">
        <f>IFERROR(GETPIVOTDATA("Full Name",$B$4,"Employment Status","Contract"),"0")</f>
        <v>17</v>
      </c>
      <c r="J11" s="36" t="s">
        <v>215</v>
      </c>
      <c r="K11" s="31">
        <v>26</v>
      </c>
      <c r="L11" s="31">
        <v>24</v>
      </c>
      <c r="M11" s="31">
        <v>50</v>
      </c>
      <c r="O11" s="6" t="s">
        <v>44</v>
      </c>
      <c r="P11">
        <f>IFERROR(GETPIVOTDATA("Full Name",$O$4,"Work Location","Branch Office"),"0")</f>
        <v>23</v>
      </c>
      <c r="R11" s="6" t="s">
        <v>215</v>
      </c>
      <c r="S11" s="30">
        <v>50</v>
      </c>
    </row>
    <row r="12" spans="2:29">
      <c r="B12" s="6" t="s">
        <v>29</v>
      </c>
      <c r="C12">
        <f>IFERROR(GETPIVOTDATA("Full Name",$B$4,"Employment Status","Full-Time"),"0")</f>
        <v>20</v>
      </c>
      <c r="O12" s="6" t="s">
        <v>30</v>
      </c>
      <c r="P12">
        <f>IFERROR(GETPIVOTDATA("Full Name",$O$4,"Work Location","Head Office"),"0")</f>
        <v>8</v>
      </c>
    </row>
    <row r="13" spans="2:29">
      <c r="B13" s="6" t="s">
        <v>111</v>
      </c>
      <c r="C13">
        <f>IFERROR(GETPIVOTDATA("Full Name",$B$4,"Employment Status","Part-Time"),"0")</f>
        <v>13</v>
      </c>
      <c r="O13" s="6" t="s">
        <v>54</v>
      </c>
      <c r="P13">
        <f>IFERROR(GETPIVOTDATA("Full Name",$O$4,"Work Location","Remote"),"0")</f>
        <v>19</v>
      </c>
      <c r="U13" s="16" t="s">
        <v>24</v>
      </c>
      <c r="V13" s="18">
        <f>IFERROR(GETPIVOTDATA("Full Name",$U$4,"Region","East"),"0")</f>
        <v>10</v>
      </c>
      <c r="X13" s="6" t="s">
        <v>26</v>
      </c>
      <c r="Y13" s="19">
        <f>IFERROR(GETPIVOTDATA("[Measures].[Average of Performance Rating]",$X$4,"[Table1].[Department]","[Table1].[Department].&amp;[Finance]"),"0")</f>
        <v>2.5833333333333335</v>
      </c>
    </row>
    <row r="14" spans="2:29">
      <c r="B14" s="6" t="s">
        <v>218</v>
      </c>
      <c r="C14">
        <f>SUM(C11+C12+C13)</f>
        <v>50</v>
      </c>
      <c r="F14" s="7" t="s">
        <v>121</v>
      </c>
      <c r="G14" s="11">
        <f>IFERROR(GETPIVOTDATA("Salary",$F$4,"Job Title","Analyst"),"0")</f>
        <v>167041</v>
      </c>
      <c r="H14" s="11">
        <f>IFERROR(GETPIVOTDATA("Sum of Leave Taken",$F$4,"Job Title","Analyst"),"0")</f>
        <v>28</v>
      </c>
      <c r="J14" s="7" t="s">
        <v>23</v>
      </c>
      <c r="K14" s="10">
        <f>IFERROR(GETPIVOTDATA("Full Name",$J$4,"Age range","18-25"),"0")</f>
        <v>9</v>
      </c>
      <c r="O14" s="6" t="s">
        <v>218</v>
      </c>
      <c r="P14">
        <f>SUM(P11:P13)</f>
        <v>50</v>
      </c>
      <c r="R14" s="6" t="s">
        <v>75</v>
      </c>
      <c r="S14">
        <f>IFERROR(GETPIVOTDATA("Full Name",$R$5,"Skills","Communication"),"0")</f>
        <v>12</v>
      </c>
      <c r="U14" s="16" t="s">
        <v>39</v>
      </c>
      <c r="V14" s="18">
        <f>IFERROR(GETPIVOTDATA("Full Name",$U$4,"Region","Central"),"0")</f>
        <v>14</v>
      </c>
      <c r="X14" s="6" t="s">
        <v>41</v>
      </c>
      <c r="Y14" s="19">
        <f>IFERROR(GETPIVOTDATA("[Measures].[Average of Performance Rating]",$X$4,"[Table1].[Department]","[Table1].[Department].&amp;[HR]"),"0")</f>
        <v>3.3</v>
      </c>
    </row>
    <row r="15" spans="2:29">
      <c r="F15" s="7" t="s">
        <v>40</v>
      </c>
      <c r="G15" s="11">
        <f>IFERROR(GETPIVOTDATA("Salary",$F$4,"Job Title","Designer"),"0")</f>
        <v>613842</v>
      </c>
      <c r="H15" s="11">
        <f>IFERROR(GETPIVOTDATA("Sum of Leave Taken",$F$4,"Job Title","Designer"),"0")</f>
        <v>110</v>
      </c>
      <c r="J15" s="7" t="s">
        <v>38</v>
      </c>
      <c r="K15" s="10">
        <f>IFERROR(GETPIVOTDATA("Full Name",$J$4,"Age range","26-35"),"0")</f>
        <v>13</v>
      </c>
      <c r="R15" s="6" t="s">
        <v>34</v>
      </c>
      <c r="S15">
        <f>IFERROR(GETPIVOTDATA("Full Name",$R$5,"Skills","Design"),"0")</f>
        <v>11</v>
      </c>
      <c r="U15" s="16" t="s">
        <v>102</v>
      </c>
      <c r="V15" s="18">
        <f>IFERROR(GETPIVOTDATA("Full Name",$U$4,"Region","North"),"0")</f>
        <v>7</v>
      </c>
      <c r="X15" s="6" t="s">
        <v>81</v>
      </c>
      <c r="Y15" s="19">
        <f>IFERROR(GETPIVOTDATA("[Measures].[Average of Performance Rating]",$X$4,"[Table1].[Department]","[Table1].[Department].&amp;[IT]"),"0")</f>
        <v>2.25</v>
      </c>
    </row>
    <row r="16" spans="2:29">
      <c r="F16" s="7" t="s">
        <v>72</v>
      </c>
      <c r="G16" s="11">
        <f>IFERROR(GETPIVOTDATA("Salary",$F$4,"Job Title","Developer"),"0")</f>
        <v>633594</v>
      </c>
      <c r="H16" s="11">
        <f>IFERROR(GETPIVOTDATA("Sum of Leave Taken",$F$4,"Job Title","Developer"),"0")</f>
        <v>104</v>
      </c>
      <c r="J16" s="7" t="s">
        <v>59</v>
      </c>
      <c r="K16" s="10">
        <f>IFERROR(GETPIVOTDATA("Full Name",$J$4,"Age range","36-45"),"0")</f>
        <v>12</v>
      </c>
      <c r="O16" s="13">
        <f>SUM(P11:P11)/SUM($P$11:$P$13)</f>
        <v>0.46</v>
      </c>
      <c r="P16" s="14">
        <f>1-O16</f>
        <v>0.54</v>
      </c>
      <c r="R16" s="6" t="s">
        <v>96</v>
      </c>
      <c r="S16">
        <f>IFERROR(GETPIVOTDATA("Full Name",$R$5,"Skills","Excel"),"0")</f>
        <v>7</v>
      </c>
      <c r="U16" s="16" t="s">
        <v>80</v>
      </c>
      <c r="V16" s="18">
        <f>IFERROR(GETPIVOTDATA("Full Name",$U$4,"Region","South"),"0")</f>
        <v>10</v>
      </c>
      <c r="X16" s="6" t="s">
        <v>51</v>
      </c>
      <c r="Y16" s="19">
        <f>IFERROR(GETPIVOTDATA("[Measures].[Average of Performance Rating]",$X$4,"[Table1].[Department]","[Table1].[Department].&amp;[Marketing]"),"0")</f>
        <v>2.3636363636363638</v>
      </c>
    </row>
    <row r="17" spans="6:25">
      <c r="F17" s="7" t="s">
        <v>50</v>
      </c>
      <c r="G17" s="11">
        <f>IFERROR(GETPIVOTDATA("Salary",$F$4,"Job Title","HR Specialist"),"0")</f>
        <v>959266</v>
      </c>
      <c r="H17" s="11">
        <f>IFERROR(GETPIVOTDATA("Sum of Leave Taken",$F$4,"Job Title","HR Specialist"),"0")</f>
        <v>123</v>
      </c>
      <c r="J17" s="7" t="s">
        <v>98</v>
      </c>
      <c r="K17" s="10">
        <f>IFERROR(GETPIVOTDATA("Full Name",$J$4,"Age range","46-55"),"0")</f>
        <v>7</v>
      </c>
      <c r="O17" s="13">
        <f>SUM(P12:P12)/SUM($P$11:$P$13)</f>
        <v>0.16</v>
      </c>
      <c r="P17" s="14">
        <f t="shared" ref="P17:P18" si="0">1-O17</f>
        <v>0.84</v>
      </c>
      <c r="R17" s="6" t="s">
        <v>56</v>
      </c>
      <c r="S17">
        <f>IFERROR(GETPIVOTDATA("Full Name",$R$5,"Skills","Management"),"0")</f>
        <v>11</v>
      </c>
      <c r="U17" s="16" t="s">
        <v>49</v>
      </c>
      <c r="V17" s="18">
        <f>IFERROR(GETPIVOTDATA("Full Name",$U$4,"Region","West"),"0")</f>
        <v>9</v>
      </c>
      <c r="X17" s="6" t="s">
        <v>60</v>
      </c>
      <c r="Y17" s="19">
        <f>IFERROR(GETPIVOTDATA("[Measures].[Average of Performance Rating]",$X$4,"[Table1].[Department]","[Table1].[Department].&amp;[Operations]"),"0")</f>
        <v>2.5555555555555554</v>
      </c>
    </row>
    <row r="18" spans="6:25">
      <c r="F18" s="7" t="s">
        <v>25</v>
      </c>
      <c r="G18" s="11">
        <f>IFERROR(GETPIVOTDATA("Salary",$F$4,"Job Title","Manager"),"0")</f>
        <v>731170</v>
      </c>
      <c r="H18" s="11">
        <f>IFERROR(GETPIVOTDATA("Sum of Leave Taken",$F$4,"Job Title","Manager"),"0")</f>
        <v>122</v>
      </c>
      <c r="J18" s="7" t="s">
        <v>68</v>
      </c>
      <c r="K18" s="10">
        <f>IFERROR(GETPIVOTDATA("Full Name",$J$4,"Age range","56 &lt;"),"0")</f>
        <v>9</v>
      </c>
      <c r="O18" s="13">
        <f>SUM(P13:P13)/SUM($P$11:$P$13)</f>
        <v>0.38</v>
      </c>
      <c r="P18" s="14">
        <f t="shared" si="0"/>
        <v>0.62</v>
      </c>
      <c r="R18" s="6" t="s">
        <v>66</v>
      </c>
      <c r="S18">
        <f>IFERROR(GETPIVOTDATA("Full Name",$R$5,"Skills","Python"),"0")</f>
        <v>9</v>
      </c>
      <c r="U18" s="16" t="s">
        <v>218</v>
      </c>
      <c r="V18" s="18">
        <f>SUM(V13:V17)</f>
        <v>50</v>
      </c>
      <c r="X18" s="6" t="s">
        <v>250</v>
      </c>
      <c r="Y18" s="23">
        <f>AVERAGE(Y13:Y17)</f>
        <v>2.6105050505050502</v>
      </c>
    </row>
    <row r="19" spans="6:25">
      <c r="F19" s="7" t="s">
        <v>218</v>
      </c>
      <c r="G19" s="11">
        <f>SUM(G14:G18)</f>
        <v>3104913</v>
      </c>
      <c r="H19" s="11">
        <f>SUM(H14:H18)</f>
        <v>487</v>
      </c>
      <c r="J19" s="7" t="s">
        <v>218</v>
      </c>
      <c r="K19" s="10">
        <f>SUM(K14+K15+K16+K17+K18)</f>
        <v>50</v>
      </c>
      <c r="Y19" s="19"/>
    </row>
    <row r="22" spans="6:25">
      <c r="J22" s="7" t="s">
        <v>37</v>
      </c>
      <c r="K22" s="10">
        <f>IFERROR(GETPIVOTDATA("Full Name",$J$4,"Gender","Female"),"0")</f>
        <v>26</v>
      </c>
      <c r="L22" s="12">
        <f t="shared" ref="L22:L23" si="1">SUM(K22)/SUM($K$22:$K$23)</f>
        <v>0.52</v>
      </c>
      <c r="M22" s="15">
        <f>1-L22</f>
        <v>0.48</v>
      </c>
    </row>
    <row r="23" spans="6:25">
      <c r="J23" s="7" t="s">
        <v>22</v>
      </c>
      <c r="K23" s="10">
        <f>IFERROR(GETPIVOTDATA("Full Name",$J$4,"Gender","Male"),"0")</f>
        <v>24</v>
      </c>
      <c r="L23" s="12">
        <f t="shared" si="1"/>
        <v>0.48</v>
      </c>
      <c r="M23" s="15">
        <f>1-L23</f>
        <v>0.52</v>
      </c>
    </row>
    <row r="24" spans="6:25">
      <c r="J24" s="10" t="s">
        <v>218</v>
      </c>
      <c r="K24" s="10">
        <f>SUM(K22:K23)</f>
        <v>50</v>
      </c>
    </row>
    <row r="43" spans="27:27">
      <c r="AA43" s="19"/>
    </row>
  </sheetData>
  <mergeCells count="6">
    <mergeCell ref="R3:S3"/>
    <mergeCell ref="F2:H2"/>
    <mergeCell ref="U2:V2"/>
    <mergeCell ref="X2:Y2"/>
    <mergeCell ref="O2:P2"/>
    <mergeCell ref="J2:M2"/>
  </mergeCells>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EA65F-F43C-4A68-8F1D-03ABD04994B7}">
  <dimension ref="AA1"/>
  <sheetViews>
    <sheetView showGridLines="0" topLeftCell="G9" zoomScale="95" zoomScaleNormal="58" workbookViewId="0">
      <selection activeCell="AK26" sqref="AK26"/>
    </sheetView>
  </sheetViews>
  <sheetFormatPr defaultRowHeight="13.8"/>
  <cols>
    <col min="1" max="1" width="13.21875" style="4" customWidth="1"/>
    <col min="2" max="2" width="8.88671875" style="4"/>
    <col min="3" max="3" width="10.21875" style="4" customWidth="1"/>
    <col min="4" max="4" width="11.44140625" style="4" customWidth="1"/>
    <col min="5" max="5" width="10.21875" style="4" customWidth="1"/>
    <col min="6" max="6" width="11.44140625" style="4" customWidth="1"/>
    <col min="7" max="7" width="12.109375" style="4" customWidth="1"/>
    <col min="8" max="9" width="11.109375" style="4" customWidth="1"/>
    <col min="10" max="16" width="8.88671875" style="4"/>
    <col min="17" max="18" width="8.88671875" style="4" customWidth="1"/>
    <col min="19" max="21" width="8.88671875" style="4"/>
    <col min="22" max="25" width="8.88671875" style="4" customWidth="1"/>
    <col min="26" max="26" width="2" style="4" customWidth="1"/>
    <col min="27" max="27" width="15.21875" style="4" hidden="1" customWidth="1"/>
    <col min="28" max="28" width="15.6640625" style="4" customWidth="1"/>
    <col min="29"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Sheet3</vt:lpstr>
      <vt:lpstr>Sheet2</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Aarti More</cp:lastModifiedBy>
  <dcterms:created xsi:type="dcterms:W3CDTF">2024-12-11T17:14:33Z</dcterms:created>
  <dcterms:modified xsi:type="dcterms:W3CDTF">2026-06-19T13:48:57Z</dcterms:modified>
</cp:coreProperties>
</file>